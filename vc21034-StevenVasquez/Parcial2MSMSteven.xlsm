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0730" windowHeight="11160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externalReferences>
    <externalReference r:id="rId6"/>
  </externalReferenc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1" l="1"/>
  <c r="D11" i="1"/>
  <c r="E11" i="1"/>
  <c r="F11" i="1"/>
  <c r="G11" i="1"/>
  <c r="H11" i="1"/>
  <c r="I11" i="1"/>
  <c r="J11" i="1"/>
  <c r="K11" i="1"/>
  <c r="B11" i="1"/>
  <c r="C10" i="1"/>
  <c r="D10" i="1"/>
  <c r="E10" i="1"/>
  <c r="F10" i="1"/>
  <c r="G10" i="1"/>
  <c r="H10" i="1"/>
  <c r="I10" i="1"/>
  <c r="J10" i="1"/>
  <c r="K10" i="1"/>
  <c r="B10" i="1"/>
  <c r="C9" i="1"/>
  <c r="D9" i="1"/>
  <c r="E9" i="1"/>
  <c r="F9" i="1"/>
  <c r="G9" i="1"/>
  <c r="H9" i="1"/>
  <c r="I9" i="1"/>
  <c r="J9" i="1"/>
  <c r="K9" i="1"/>
  <c r="B9" i="1"/>
  <c r="C8" i="1"/>
  <c r="D8" i="1"/>
  <c r="E8" i="1"/>
  <c r="F8" i="1"/>
  <c r="G8" i="1"/>
  <c r="H8" i="1"/>
  <c r="I8" i="1"/>
  <c r="J8" i="1"/>
  <c r="K8" i="1"/>
  <c r="B8" i="1"/>
  <c r="C7" i="1"/>
  <c r="D7" i="1"/>
  <c r="E7" i="1"/>
  <c r="F7" i="1"/>
  <c r="G7" i="1"/>
  <c r="H7" i="1"/>
  <c r="I7" i="1"/>
  <c r="J7" i="1"/>
  <c r="K7" i="1"/>
  <c r="B7" i="1"/>
  <c r="C6" i="1"/>
  <c r="D6" i="1"/>
  <c r="E6" i="1"/>
  <c r="F6" i="1"/>
  <c r="G6" i="1"/>
  <c r="H6" i="1"/>
  <c r="I6" i="1"/>
  <c r="J6" i="1"/>
  <c r="K6" i="1"/>
  <c r="B6" i="1"/>
  <c r="C5" i="1"/>
  <c r="D5" i="1"/>
  <c r="E5" i="1"/>
  <c r="F5" i="1"/>
  <c r="G5" i="1"/>
  <c r="H5" i="1"/>
  <c r="I5" i="1"/>
  <c r="J5" i="1"/>
  <c r="K5" i="1"/>
  <c r="B5" i="1"/>
  <c r="C4" i="1"/>
  <c r="D4" i="1"/>
  <c r="E4" i="1"/>
  <c r="F4" i="1"/>
  <c r="G4" i="1"/>
  <c r="H4" i="1"/>
  <c r="I4" i="1"/>
  <c r="J4" i="1"/>
  <c r="K4" i="1"/>
  <c r="B4" i="1"/>
  <c r="C3" i="1"/>
  <c r="D3" i="1"/>
  <c r="E3" i="1"/>
  <c r="F3" i="1"/>
  <c r="G3" i="1"/>
  <c r="H3" i="1"/>
  <c r="I3" i="1"/>
  <c r="J3" i="1"/>
  <c r="K3" i="1"/>
  <c r="B3" i="1"/>
  <c r="C2" i="1"/>
  <c r="D2" i="1"/>
  <c r="E2" i="1"/>
  <c r="F2" i="1"/>
  <c r="G2" i="1"/>
  <c r="H2" i="1"/>
  <c r="I2" i="1"/>
  <c r="J2" i="1"/>
  <c r="K2" i="1"/>
  <c r="B2" i="1"/>
  <c r="E2" i="2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E4" i="3" l="1"/>
  <c r="E5" i="3"/>
  <c r="E6" i="3"/>
  <c r="E7" i="3"/>
  <c r="E8" i="3"/>
  <c r="E9" i="3"/>
  <c r="E10" i="3"/>
  <c r="E11" i="3"/>
  <c r="E12" i="3"/>
  <c r="E13" i="3"/>
  <c r="E14" i="3"/>
  <c r="E15" i="3"/>
  <c r="E17" i="3"/>
  <c r="B17" i="3"/>
  <c r="C17" i="3"/>
  <c r="C5" i="5"/>
  <c r="C6" i="5"/>
  <c r="C7" i="5"/>
  <c r="C8" i="5"/>
  <c r="E6" i="5"/>
  <c r="E7" i="5"/>
  <c r="E8" i="5"/>
  <c r="E5" i="5"/>
  <c r="D15" i="3" l="1"/>
  <c r="D14" i="3"/>
  <c r="D13" i="3"/>
  <c r="D12" i="3"/>
  <c r="D11" i="3"/>
  <c r="D10" i="3"/>
  <c r="D9" i="3"/>
  <c r="D8" i="3"/>
  <c r="D7" i="3"/>
  <c r="D6" i="3"/>
  <c r="D5" i="3"/>
  <c r="D4" i="3"/>
  <c r="E3" i="3"/>
  <c r="C3" i="3"/>
  <c r="D3" i="3"/>
  <c r="D17" i="3"/>
</calcChain>
</file>

<file path=xl/sharedStrings.xml><?xml version="1.0" encoding="utf-8"?>
<sst xmlns="http://schemas.openxmlformats.org/spreadsheetml/2006/main" count="81" uniqueCount="60">
  <si>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</si>
  <si>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</si>
  <si>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</si>
  <si>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</si>
  <si>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</si>
  <si>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</si>
  <si>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</si>
  <si>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</si>
  <si>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</si>
  <si>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</si>
  <si>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</si>
  <si>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</si>
  <si>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</si>
  <si>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</si>
  <si>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</si>
  <si>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</si>
  <si>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</si>
  <si>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</si>
  <si>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</si>
  <si>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</si>
  <si>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</si>
  <si>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</si>
  <si>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</si>
  <si>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</si>
  <si>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</si>
  <si>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</si>
  <si>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</si>
  <si>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</si>
  <si>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</si>
  <si>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</si>
  <si>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</si>
  <si>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</si>
  <si>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</si>
  <si>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</si>
  <si>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</si>
  <si>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</si>
  <si>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</si>
  <si>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</si>
  <si>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</si>
  <si>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</si>
  <si>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</si>
  <si>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Columna1</t>
  </si>
  <si>
    <t>Columna2</t>
  </si>
  <si>
    <t>Columna3</t>
  </si>
  <si>
    <t>Nombre</t>
  </si>
  <si>
    <t>Apellido</t>
  </si>
  <si>
    <t>Steven</t>
  </si>
  <si>
    <t>Vasquez</t>
  </si>
  <si>
    <t>Joy</t>
  </si>
  <si>
    <t>Pagoxhoras</t>
  </si>
  <si>
    <t>HorasTrabajadas</t>
  </si>
  <si>
    <t>Total salario</t>
  </si>
  <si>
    <t>Jones</t>
  </si>
  <si>
    <t>Fran</t>
  </si>
  <si>
    <t>Casio</t>
  </si>
  <si>
    <t>NombreCompleto</t>
  </si>
  <si>
    <t>jose</t>
  </si>
  <si>
    <t>Edgardo</t>
  </si>
  <si>
    <t>Cruz</t>
  </si>
  <si>
    <t>Control +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</si>
</sst>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b/>
      <sz val="16"/>
      <color rgb="FFFFFF00"/>
      <name val="Bodoni MT"/>
      <family val="1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450666829432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49" fontId="2" fillId="3" borderId="18" xfId="0" applyNumberFormat="1" applyFont="1" applyFill="1" applyBorder="1"/>
    <xf numFmtId="164" fontId="0" fillId="3" borderId="18" xfId="0" applyNumberFormat="1" applyFill="1" applyBorder="1"/>
    <xf numFmtId="164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4" fillId="0" borderId="12" xfId="0" applyNumberFormat="1" applyFont="1" applyBorder="1" applyAlignment="1">
      <alignment horizontal="center" vertical="center"/>
    </xf>
    <xf numFmtId="0" fontId="4" fillId="6" borderId="13" xfId="0" applyNumberFormat="1" applyFont="1" applyFill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/>
    </xf>
    <xf numFmtId="0" fontId="4" fillId="6" borderId="6" xfId="0" applyNumberFormat="1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164" fontId="4" fillId="4" borderId="20" xfId="0" applyNumberFormat="1" applyFont="1" applyFill="1" applyBorder="1" applyAlignment="1">
      <alignment horizontal="center" vertical="center"/>
    </xf>
    <xf numFmtId="0" fontId="0" fillId="0" borderId="0" xfId="0" applyFont="1"/>
    <xf numFmtId="3" fontId="6" fillId="0" borderId="14" xfId="0" applyNumberFormat="1" applyFont="1" applyFill="1" applyBorder="1" applyAlignment="1">
      <alignment horizontal="center" vertical="center"/>
    </xf>
    <xf numFmtId="164" fontId="6" fillId="0" borderId="3" xfId="0" applyNumberFormat="1" applyFont="1" applyFill="1" applyBorder="1" applyAlignment="1">
      <alignment horizontal="center" vertical="center"/>
    </xf>
    <xf numFmtId="0" fontId="0" fillId="7" borderId="0" xfId="0" applyFill="1"/>
    <xf numFmtId="0" fontId="0" fillId="0" borderId="5" xfId="0" applyBorder="1"/>
    <xf numFmtId="0" fontId="0" fillId="0" borderId="21" xfId="0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8" borderId="0" xfId="0" applyFill="1"/>
    <xf numFmtId="164" fontId="0" fillId="0" borderId="3" xfId="0" applyNumberFormat="1" applyFont="1" applyFill="1" applyBorder="1" applyAlignment="1">
      <alignment horizontal="center" vertical="center"/>
    </xf>
    <xf numFmtId="0" fontId="2" fillId="3" borderId="18" xfId="0" applyFont="1" applyFill="1" applyBorder="1"/>
    <xf numFmtId="0" fontId="4" fillId="4" borderId="23" xfId="0" applyFont="1" applyFill="1" applyBorder="1" applyAlignment="1">
      <alignment horizontal="left" vertical="center"/>
    </xf>
    <xf numFmtId="0" fontId="4" fillId="5" borderId="24" xfId="0" applyFont="1" applyFill="1" applyBorder="1" applyAlignment="1">
      <alignment horizontal="left" vertical="center" wrapText="1"/>
    </xf>
    <xf numFmtId="0" fontId="4" fillId="5" borderId="25" xfId="0" applyFont="1" applyFill="1" applyBorder="1" applyAlignment="1">
      <alignment horizontal="left" vertical="center" wrapText="1"/>
    </xf>
    <xf numFmtId="0" fontId="4" fillId="5" borderId="26" xfId="0" applyFont="1" applyFill="1" applyBorder="1" applyAlignment="1">
      <alignment horizontal="left" vertical="center" wrapText="1"/>
    </xf>
    <xf numFmtId="164" fontId="4" fillId="6" borderId="13" xfId="0" applyNumberFormat="1" applyFont="1" applyFill="1" applyBorder="1" applyAlignment="1">
      <alignment horizontal="center" vertical="center"/>
    </xf>
    <xf numFmtId="0" fontId="7" fillId="0" borderId="1" xfId="0" applyFont="1" applyBorder="1"/>
    <xf numFmtId="0" fontId="0" fillId="0" borderId="0" xfId="0" applyAlignment="1">
      <alignment horizontal="left" indent="1"/>
    </xf>
    <xf numFmtId="1" fontId="0" fillId="9" borderId="15" xfId="0" applyNumberFormat="1" applyFill="1" applyBorder="1"/>
    <xf numFmtId="0" fontId="0" fillId="10" borderId="16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9" borderId="16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9" borderId="6" xfId="0" applyFont="1" applyFill="1" applyBorder="1" applyAlignment="1">
      <alignment horizontal="center"/>
    </xf>
    <xf numFmtId="1" fontId="9" fillId="11" borderId="17" xfId="0" applyNumberFormat="1" applyFont="1" applyFill="1" applyBorder="1"/>
    <xf numFmtId="49" fontId="0" fillId="12" borderId="16" xfId="0" applyNumberFormat="1" applyFill="1" applyBorder="1" applyAlignment="1">
      <alignment horizontal="center"/>
    </xf>
    <xf numFmtId="49" fontId="0" fillId="12" borderId="1" xfId="0" applyNumberFormat="1" applyFill="1" applyBorder="1" applyAlignment="1">
      <alignment horizontal="center"/>
    </xf>
    <xf numFmtId="49" fontId="0" fillId="12" borderId="6" xfId="0" applyNumberForma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1" fontId="0" fillId="10" borderId="14" xfId="1" applyNumberFormat="1" applyFont="1" applyFill="1" applyBorder="1" applyAlignment="1">
      <alignment horizontal="center"/>
    </xf>
    <xf numFmtId="1" fontId="0" fillId="10" borderId="3" xfId="1" applyNumberFormat="1" applyFont="1" applyFill="1" applyBorder="1" applyAlignment="1">
      <alignment horizontal="center"/>
    </xf>
    <xf numFmtId="1" fontId="0" fillId="10" borderId="4" xfId="1" applyNumberFormat="1" applyFont="1" applyFill="1" applyBorder="1" applyAlignment="1">
      <alignment horizontal="center"/>
    </xf>
    <xf numFmtId="0" fontId="0" fillId="13" borderId="12" xfId="0" applyFill="1" applyBorder="1"/>
    <xf numFmtId="0" fontId="0" fillId="14" borderId="11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14" borderId="10" xfId="0" applyFill="1" applyBorder="1" applyAlignment="1">
      <alignment horizontal="center"/>
    </xf>
  </cellXfs>
  <cellStyles count="2">
    <cellStyle name="Millares" xfId="1" builtinId="3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solid">
          <fgColor indexed="64"/>
          <bgColor indexed="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2</xdr:row>
          <xdr:rowOff>38100</xdr:rowOff>
        </xdr:from>
        <xdr:to>
          <xdr:col>13</xdr:col>
          <xdr:colOff>371475</xdr:colOff>
          <xdr:row>3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581025</xdr:colOff>
          <xdr:row>5</xdr:row>
          <xdr:rowOff>0</xdr:rowOff>
        </xdr:from>
        <xdr:to>
          <xdr:col>13</xdr:col>
          <xdr:colOff>47625</xdr:colOff>
          <xdr:row>7</xdr:row>
          <xdr:rowOff>47625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10</xdr:row>
          <xdr:rowOff>38100</xdr:rowOff>
        </xdr:from>
        <xdr:to>
          <xdr:col>6</xdr:col>
          <xdr:colOff>571500</xdr:colOff>
          <xdr:row>12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Multi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47625</xdr:rowOff>
        </xdr:from>
        <xdr:to>
          <xdr:col>8</xdr:col>
          <xdr:colOff>361950</xdr:colOff>
          <xdr:row>3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2</xdr:row>
          <xdr:rowOff>0</xdr:rowOff>
        </xdr:from>
        <xdr:to>
          <xdr:col>9</xdr:col>
          <xdr:colOff>9525</xdr:colOff>
          <xdr:row>4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SumaTotal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5</xdr:row>
          <xdr:rowOff>180975</xdr:rowOff>
        </xdr:from>
        <xdr:to>
          <xdr:col>9</xdr:col>
          <xdr:colOff>133350</xdr:colOff>
          <xdr:row>9</xdr:row>
          <xdr:rowOff>9525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SumaTotalIVA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11</xdr:row>
          <xdr:rowOff>95250</xdr:rowOff>
        </xdr:from>
        <xdr:to>
          <xdr:col>9</xdr:col>
          <xdr:colOff>238125</xdr:colOff>
          <xdr:row>14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TOTALIVAA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171450</xdr:rowOff>
        </xdr:from>
        <xdr:to>
          <xdr:col>7</xdr:col>
          <xdr:colOff>266700</xdr:colOff>
          <xdr:row>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</a:rPr>
                <a:t>SalarioTotal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101203</xdr:colOff>
      <xdr:row>4</xdr:row>
      <xdr:rowOff>41673</xdr:rowOff>
    </xdr:from>
    <xdr:to>
      <xdr:col>9</xdr:col>
      <xdr:colOff>267891</xdr:colOff>
      <xdr:row>8</xdr:row>
      <xdr:rowOff>17861</xdr:rowOff>
    </xdr:to>
    <xdr:sp macro="" textlink="">
      <xdr:nvSpPr>
        <xdr:cNvPr id="2" name="1 CuadroTexto"/>
        <xdr:cNvSpPr txBox="1"/>
      </xdr:nvSpPr>
      <xdr:spPr>
        <a:xfrm>
          <a:off x="4738687" y="803673"/>
          <a:ext cx="3214688" cy="7381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SV" sz="1100"/>
            <a:t>Este programa</a:t>
          </a:r>
          <a:r>
            <a:rPr lang="es-SV" sz="1100" baseline="0"/>
            <a:t> calcula tus horas trabajadas con el precio  fijo de las horas que son 2.50. Para calcular tu salario tola preciose el boton "SalarioTotal" y veras tu total</a:t>
          </a:r>
          <a:endParaRPr lang="es-SV" sz="1100"/>
        </a:p>
      </xdr:txBody>
    </xdr:sp>
    <xdr:clientData/>
  </xdr:twoCellAnchor>
  <xdr:oneCellAnchor>
    <xdr:from>
      <xdr:col>3</xdr:col>
      <xdr:colOff>11906</xdr:colOff>
      <xdr:row>10</xdr:row>
      <xdr:rowOff>136922</xdr:rowOff>
    </xdr:from>
    <xdr:ext cx="184731" cy="264560"/>
    <xdr:sp macro="" textlink="">
      <xdr:nvSpPr>
        <xdr:cNvPr id="3" name="2 CuadroTexto"/>
        <xdr:cNvSpPr txBox="1"/>
      </xdr:nvSpPr>
      <xdr:spPr>
        <a:xfrm>
          <a:off x="2762250" y="204192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SV" sz="1100"/>
        </a:p>
      </xdr:txBody>
    </xdr:sp>
    <xdr:clientData/>
  </xdr:oneCellAnchor>
  <xdr:twoCellAnchor>
    <xdr:from>
      <xdr:col>0</xdr:col>
      <xdr:colOff>11906</xdr:colOff>
      <xdr:row>10</xdr:row>
      <xdr:rowOff>11906</xdr:rowOff>
    </xdr:from>
    <xdr:to>
      <xdr:col>3</xdr:col>
      <xdr:colOff>738187</xdr:colOff>
      <xdr:row>14</xdr:row>
      <xdr:rowOff>65484</xdr:rowOff>
    </xdr:to>
    <xdr:sp macro="" textlink="">
      <xdr:nvSpPr>
        <xdr:cNvPr id="4" name="3 CuadroTexto"/>
        <xdr:cNvSpPr txBox="1"/>
      </xdr:nvSpPr>
      <xdr:spPr>
        <a:xfrm>
          <a:off x="11906" y="1916906"/>
          <a:ext cx="3476625" cy="8155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SV" sz="1100"/>
            <a:t>Para</a:t>
          </a:r>
          <a:r>
            <a:rPr lang="es-SV" sz="1100" baseline="0"/>
            <a:t> usar la macro de NombreCompleto usaras las teclas</a:t>
          </a:r>
        </a:p>
        <a:p>
          <a:r>
            <a:rPr lang="es-SV" sz="1100" baseline="0"/>
            <a:t>"Ctrl+n" y podras juntar tu nombre y apellido.</a:t>
          </a:r>
          <a:endParaRPr lang="es-SV" sz="1100"/>
        </a:p>
      </xdr:txBody>
    </xdr:sp>
    <xdr:clientData/>
  </xdr:twoCellAnchor>
  <xdr:twoCellAnchor>
    <xdr:from>
      <xdr:col>2</xdr:col>
      <xdr:colOff>541734</xdr:colOff>
      <xdr:row>7</xdr:row>
      <xdr:rowOff>178594</xdr:rowOff>
    </xdr:from>
    <xdr:to>
      <xdr:col>2</xdr:col>
      <xdr:colOff>553640</xdr:colOff>
      <xdr:row>10</xdr:row>
      <xdr:rowOff>0</xdr:rowOff>
    </xdr:to>
    <xdr:cxnSp macro="">
      <xdr:nvCxnSpPr>
        <xdr:cNvPr id="6" name="5 Conector recto de flecha"/>
        <xdr:cNvCxnSpPr/>
      </xdr:nvCxnSpPr>
      <xdr:spPr>
        <a:xfrm flipV="1">
          <a:off x="2137172" y="1512094"/>
          <a:ext cx="11906" cy="392906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321469</xdr:colOff>
      <xdr:row>2</xdr:row>
      <xdr:rowOff>119063</xdr:rowOff>
    </xdr:from>
    <xdr:to>
      <xdr:col>7</xdr:col>
      <xdr:colOff>636985</xdr:colOff>
      <xdr:row>4</xdr:row>
      <xdr:rowOff>35719</xdr:rowOff>
    </xdr:to>
    <xdr:cxnSp macro="">
      <xdr:nvCxnSpPr>
        <xdr:cNvPr id="8" name="7 Conector angular"/>
        <xdr:cNvCxnSpPr/>
      </xdr:nvCxnSpPr>
      <xdr:spPr>
        <a:xfrm>
          <a:off x="6482953" y="500063"/>
          <a:ext cx="315516" cy="297656"/>
        </a:xfrm>
        <a:prstGeom prst="bentConnector3">
          <a:avLst/>
        </a:prstGeom>
        <a:ln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coloresc"/>
      <definedName name="Multi"/>
      <definedName name="sumaiva"/>
      <definedName name="SUMATOTAL"/>
      <definedName name="TablaColors"/>
      <definedName name="TablaMulti"/>
      <definedName name="TotalHoras"/>
      <definedName name="TotalIVA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4" name="Tabla4" displayName="Tabla4" ref="A1:E15" totalsRowShown="0" tableBorderDxfId="4">
  <autoFilter ref="A1:E15"/>
  <tableColumns count="5">
    <tableColumn id="1" name="Pedidos mensuales" dataDxfId="3"/>
    <tableColumn id="2" name="Diciembre" dataDxfId="2"/>
    <tableColumn id="3" name="Columna1" dataDxfId="1"/>
    <tableColumn id="4" name="Columna2" dataDxfId="0">
      <calculatedColumnFormula>B2*C2</calculatedColumnFormula>
    </tableColumn>
    <tableColumn id="5" name="Columna3">
      <calculatedColumnFormula>C2*$B$19*B2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A4:E8" totalsRowShown="0">
  <autoFilter ref="A4:E8"/>
  <tableColumns count="5">
    <tableColumn id="1" name="Nombre"/>
    <tableColumn id="2" name="Apellido"/>
    <tableColumn id="3" name="NombreCompleto">
      <calculatedColumnFormula>CONCATENATE(A5,B5)</calculatedColumnFormula>
    </tableColumn>
    <tableColumn id="4" name="HorasTrabajadas"/>
    <tableColumn id="5" name="Total salario">
      <calculatedColumnFormula>D5*$B$9</calculatedColumnFormula>
    </tableColumn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14"/>
  <sheetViews>
    <sheetView tabSelected="1" workbookViewId="0">
      <selection activeCell="M9" sqref="M9"/>
    </sheetView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50" t="s">
        <v>0</v>
      </c>
      <c r="B1" s="51">
        <v>1</v>
      </c>
      <c r="C1" s="52">
        <v>2</v>
      </c>
      <c r="D1" s="52">
        <v>3</v>
      </c>
      <c r="E1" s="52">
        <v>4</v>
      </c>
      <c r="F1" s="52">
        <v>5</v>
      </c>
      <c r="G1" s="52">
        <v>6</v>
      </c>
      <c r="H1" s="52">
        <v>7</v>
      </c>
      <c r="I1" s="52">
        <v>8</v>
      </c>
      <c r="J1" s="52">
        <v>9</v>
      </c>
      <c r="K1" s="53">
        <v>10</v>
      </c>
    </row>
    <row r="2" spans="1:11" x14ac:dyDescent="0.25">
      <c r="A2" s="55">
        <v>1</v>
      </c>
      <c r="B2" s="54">
        <f>$A$2*B1</f>
        <v>1</v>
      </c>
      <c r="C2" s="54">
        <f t="shared" ref="C2:K2" si="0">$A$2*C1</f>
        <v>2</v>
      </c>
      <c r="D2" s="54">
        <f t="shared" si="0"/>
        <v>3</v>
      </c>
      <c r="E2" s="54">
        <f t="shared" si="0"/>
        <v>4</v>
      </c>
      <c r="F2" s="54">
        <f t="shared" si="0"/>
        <v>5</v>
      </c>
      <c r="G2" s="54">
        <f t="shared" si="0"/>
        <v>6</v>
      </c>
      <c r="H2" s="54">
        <f t="shared" si="0"/>
        <v>7</v>
      </c>
      <c r="I2" s="54">
        <f t="shared" si="0"/>
        <v>8</v>
      </c>
      <c r="J2" s="54">
        <f t="shared" si="0"/>
        <v>9</v>
      </c>
      <c r="K2" s="54">
        <f t="shared" si="0"/>
        <v>10</v>
      </c>
    </row>
    <row r="3" spans="1:11" x14ac:dyDescent="0.25">
      <c r="A3" s="56">
        <v>2</v>
      </c>
      <c r="B3" s="54">
        <f>$A$3*B1</f>
        <v>2</v>
      </c>
      <c r="C3" s="54">
        <f t="shared" ref="C3:K3" si="1">$A$3*C1</f>
        <v>4</v>
      </c>
      <c r="D3" s="54">
        <f t="shared" si="1"/>
        <v>6</v>
      </c>
      <c r="E3" s="54">
        <f t="shared" si="1"/>
        <v>8</v>
      </c>
      <c r="F3" s="54">
        <f t="shared" si="1"/>
        <v>10</v>
      </c>
      <c r="G3" s="54">
        <f t="shared" si="1"/>
        <v>12</v>
      </c>
      <c r="H3" s="54">
        <f t="shared" si="1"/>
        <v>14</v>
      </c>
      <c r="I3" s="54">
        <f t="shared" si="1"/>
        <v>16</v>
      </c>
      <c r="J3" s="54">
        <f t="shared" si="1"/>
        <v>18</v>
      </c>
      <c r="K3" s="54">
        <f t="shared" si="1"/>
        <v>20</v>
      </c>
    </row>
    <row r="4" spans="1:11" x14ac:dyDescent="0.25">
      <c r="A4" s="56">
        <v>3</v>
      </c>
      <c r="B4" s="54">
        <f>$A$4*B1</f>
        <v>3</v>
      </c>
      <c r="C4" s="54">
        <f t="shared" ref="C4:K4" si="2">$A$4*C1</f>
        <v>6</v>
      </c>
      <c r="D4" s="54">
        <f t="shared" si="2"/>
        <v>9</v>
      </c>
      <c r="E4" s="54">
        <f t="shared" si="2"/>
        <v>12</v>
      </c>
      <c r="F4" s="54">
        <f t="shared" si="2"/>
        <v>15</v>
      </c>
      <c r="G4" s="54">
        <f t="shared" si="2"/>
        <v>18</v>
      </c>
      <c r="H4" s="54">
        <f t="shared" si="2"/>
        <v>21</v>
      </c>
      <c r="I4" s="54">
        <f t="shared" si="2"/>
        <v>24</v>
      </c>
      <c r="J4" s="54">
        <f t="shared" si="2"/>
        <v>27</v>
      </c>
      <c r="K4" s="54">
        <f t="shared" si="2"/>
        <v>30</v>
      </c>
    </row>
    <row r="5" spans="1:11" x14ac:dyDescent="0.25">
      <c r="A5" s="56">
        <v>4</v>
      </c>
      <c r="B5" s="54">
        <f>$A$5*B1</f>
        <v>4</v>
      </c>
      <c r="C5" s="54">
        <f t="shared" ref="C5:K5" si="3">$A$5*C1</f>
        <v>8</v>
      </c>
      <c r="D5" s="54">
        <f t="shared" si="3"/>
        <v>12</v>
      </c>
      <c r="E5" s="54">
        <f t="shared" si="3"/>
        <v>16</v>
      </c>
      <c r="F5" s="54">
        <f t="shared" si="3"/>
        <v>20</v>
      </c>
      <c r="G5" s="54">
        <f t="shared" si="3"/>
        <v>24</v>
      </c>
      <c r="H5" s="54">
        <f t="shared" si="3"/>
        <v>28</v>
      </c>
      <c r="I5" s="54">
        <f t="shared" si="3"/>
        <v>32</v>
      </c>
      <c r="J5" s="54">
        <f t="shared" si="3"/>
        <v>36</v>
      </c>
      <c r="K5" s="54">
        <f t="shared" si="3"/>
        <v>40</v>
      </c>
    </row>
    <row r="6" spans="1:11" x14ac:dyDescent="0.25">
      <c r="A6" s="56">
        <v>5</v>
      </c>
      <c r="B6" s="54">
        <f>$A$6*B1</f>
        <v>5</v>
      </c>
      <c r="C6" s="54">
        <f t="shared" ref="C6:K6" si="4">$A$6*C1</f>
        <v>10</v>
      </c>
      <c r="D6" s="54">
        <f t="shared" si="4"/>
        <v>15</v>
      </c>
      <c r="E6" s="54">
        <f t="shared" si="4"/>
        <v>20</v>
      </c>
      <c r="F6" s="54">
        <f t="shared" si="4"/>
        <v>25</v>
      </c>
      <c r="G6" s="54">
        <f t="shared" si="4"/>
        <v>30</v>
      </c>
      <c r="H6" s="54">
        <f t="shared" si="4"/>
        <v>35</v>
      </c>
      <c r="I6" s="54">
        <f t="shared" si="4"/>
        <v>40</v>
      </c>
      <c r="J6" s="54">
        <f t="shared" si="4"/>
        <v>45</v>
      </c>
      <c r="K6" s="54">
        <f t="shared" si="4"/>
        <v>50</v>
      </c>
    </row>
    <row r="7" spans="1:11" x14ac:dyDescent="0.25">
      <c r="A7" s="56">
        <v>6</v>
      </c>
      <c r="B7" s="54">
        <f>$A$7*B1</f>
        <v>6</v>
      </c>
      <c r="C7" s="54">
        <f t="shared" ref="C7:K7" si="5">$A$7*C1</f>
        <v>12</v>
      </c>
      <c r="D7" s="54">
        <f t="shared" si="5"/>
        <v>18</v>
      </c>
      <c r="E7" s="54">
        <f t="shared" si="5"/>
        <v>24</v>
      </c>
      <c r="F7" s="54">
        <f t="shared" si="5"/>
        <v>30</v>
      </c>
      <c r="G7" s="54">
        <f t="shared" si="5"/>
        <v>36</v>
      </c>
      <c r="H7" s="54">
        <f t="shared" si="5"/>
        <v>42</v>
      </c>
      <c r="I7" s="54">
        <f t="shared" si="5"/>
        <v>48</v>
      </c>
      <c r="J7" s="54">
        <f t="shared" si="5"/>
        <v>54</v>
      </c>
      <c r="K7" s="54">
        <f t="shared" si="5"/>
        <v>60</v>
      </c>
    </row>
    <row r="8" spans="1:11" x14ac:dyDescent="0.25">
      <c r="A8" s="56">
        <v>7</v>
      </c>
      <c r="B8" s="54">
        <f>$A$8*B1</f>
        <v>7</v>
      </c>
      <c r="C8" s="54">
        <f t="shared" ref="C8:K8" si="6">$A$8*C1</f>
        <v>14</v>
      </c>
      <c r="D8" s="54">
        <f t="shared" si="6"/>
        <v>21</v>
      </c>
      <c r="E8" s="54">
        <f t="shared" si="6"/>
        <v>28</v>
      </c>
      <c r="F8" s="54">
        <f t="shared" si="6"/>
        <v>35</v>
      </c>
      <c r="G8" s="54">
        <f t="shared" si="6"/>
        <v>42</v>
      </c>
      <c r="H8" s="54">
        <f t="shared" si="6"/>
        <v>49</v>
      </c>
      <c r="I8" s="54">
        <f t="shared" si="6"/>
        <v>56</v>
      </c>
      <c r="J8" s="54">
        <f t="shared" si="6"/>
        <v>63</v>
      </c>
      <c r="K8" s="54">
        <f t="shared" si="6"/>
        <v>70</v>
      </c>
    </row>
    <row r="9" spans="1:11" x14ac:dyDescent="0.25">
      <c r="A9" s="56">
        <v>8</v>
      </c>
      <c r="B9" s="54">
        <f>$A$9*B1</f>
        <v>8</v>
      </c>
      <c r="C9" s="54">
        <f t="shared" ref="C9:K9" si="7">$A$9*C1</f>
        <v>16</v>
      </c>
      <c r="D9" s="54">
        <f t="shared" si="7"/>
        <v>24</v>
      </c>
      <c r="E9" s="54">
        <f t="shared" si="7"/>
        <v>32</v>
      </c>
      <c r="F9" s="54">
        <f t="shared" si="7"/>
        <v>40</v>
      </c>
      <c r="G9" s="54">
        <f t="shared" si="7"/>
        <v>48</v>
      </c>
      <c r="H9" s="54">
        <f t="shared" si="7"/>
        <v>56</v>
      </c>
      <c r="I9" s="54">
        <f t="shared" si="7"/>
        <v>64</v>
      </c>
      <c r="J9" s="54">
        <f t="shared" si="7"/>
        <v>72</v>
      </c>
      <c r="K9" s="54">
        <f t="shared" si="7"/>
        <v>80</v>
      </c>
    </row>
    <row r="10" spans="1:11" x14ac:dyDescent="0.25">
      <c r="A10" s="56">
        <v>9</v>
      </c>
      <c r="B10" s="54">
        <f>$A$10*B1</f>
        <v>9</v>
      </c>
      <c r="C10" s="54">
        <f t="shared" ref="C10:K10" si="8">$A$10*C1</f>
        <v>18</v>
      </c>
      <c r="D10" s="54">
        <f t="shared" si="8"/>
        <v>27</v>
      </c>
      <c r="E10" s="54">
        <f t="shared" si="8"/>
        <v>36</v>
      </c>
      <c r="F10" s="54">
        <f t="shared" si="8"/>
        <v>45</v>
      </c>
      <c r="G10" s="54">
        <f t="shared" si="8"/>
        <v>54</v>
      </c>
      <c r="H10" s="54">
        <f t="shared" si="8"/>
        <v>63</v>
      </c>
      <c r="I10" s="54">
        <f t="shared" si="8"/>
        <v>72</v>
      </c>
      <c r="J10" s="54">
        <f t="shared" si="8"/>
        <v>81</v>
      </c>
      <c r="K10" s="54">
        <f t="shared" si="8"/>
        <v>90</v>
      </c>
    </row>
    <row r="11" spans="1:11" ht="15.75" thickBot="1" x14ac:dyDescent="0.3">
      <c r="A11" s="57">
        <v>10</v>
      </c>
      <c r="B11" s="54">
        <f>$A$11*B1</f>
        <v>10</v>
      </c>
      <c r="C11" s="54">
        <f t="shared" ref="C11:K11" si="9">$A$11*C1</f>
        <v>20</v>
      </c>
      <c r="D11" s="54">
        <f t="shared" si="9"/>
        <v>30</v>
      </c>
      <c r="E11" s="54">
        <f t="shared" si="9"/>
        <v>40</v>
      </c>
      <c r="F11" s="54">
        <f t="shared" si="9"/>
        <v>50</v>
      </c>
      <c r="G11" s="54">
        <f t="shared" si="9"/>
        <v>60</v>
      </c>
      <c r="H11" s="54">
        <f t="shared" si="9"/>
        <v>70</v>
      </c>
      <c r="I11" s="54">
        <f t="shared" si="9"/>
        <v>80</v>
      </c>
      <c r="J11" s="54">
        <f t="shared" si="9"/>
        <v>90</v>
      </c>
      <c r="K11" s="54">
        <f t="shared" si="9"/>
        <v>100</v>
      </c>
    </row>
    <row r="13" spans="1:11" x14ac:dyDescent="0.25">
      <c r="A13" s="38" t="s">
        <v>1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</row>
    <row r="14" spans="1:11" x14ac:dyDescent="0.25">
      <c r="A14" s="2" t="s">
        <v>2</v>
      </c>
      <c r="B14" s="2"/>
      <c r="C14" s="2"/>
      <c r="D14" s="2"/>
      <c r="E14" s="2"/>
      <c r="F14" s="2"/>
      <c r="G14" s="2"/>
      <c r="H14" s="2"/>
      <c r="I14" s="2"/>
      <c r="J14" s="2"/>
      <c r="K14" s="2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1]!TablaMulti">
                <anchor moveWithCells="1" sizeWithCells="1">
                  <from>
                    <xdr:col>12</xdr:col>
                    <xdr:colOff>200025</xdr:colOff>
                    <xdr:row>2</xdr:row>
                    <xdr:rowOff>38100</xdr:rowOff>
                  </from>
                  <to>
                    <xdr:col>13</xdr:col>
                    <xdr:colOff>371475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1]!TablaColors">
                <anchor moveWithCells="1" sizeWithCells="1">
                  <from>
                    <xdr:col>11</xdr:col>
                    <xdr:colOff>581025</xdr:colOff>
                    <xdr:row>5</xdr:row>
                    <xdr:rowOff>0</xdr:rowOff>
                  </from>
                  <to>
                    <xdr:col>13</xdr:col>
                    <xdr:colOff>47625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E15"/>
  <sheetViews>
    <sheetView workbookViewId="0">
      <selection activeCell="I6" sqref="I6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4" customWidth="1"/>
  </cols>
  <sheetData>
    <row r="1" spans="1:5" ht="15.75" thickBot="1" x14ac:dyDescent="0.3">
      <c r="A1" s="39">
        <f>$E$12</f>
        <v>5</v>
      </c>
      <c r="B1" s="40" t="s">
        <v>3</v>
      </c>
      <c r="C1" s="43">
        <v>1</v>
      </c>
      <c r="D1" s="47" t="s">
        <v>5</v>
      </c>
      <c r="E1" s="46">
        <f>A1*C1</f>
        <v>5</v>
      </c>
    </row>
    <row r="2" spans="1:5" ht="15.75" thickBot="1" x14ac:dyDescent="0.3">
      <c r="A2" s="39">
        <f t="shared" ref="A2:A10" si="0">$E$12</f>
        <v>5</v>
      </c>
      <c r="B2" s="41" t="s">
        <v>3</v>
      </c>
      <c r="C2" s="44">
        <v>2</v>
      </c>
      <c r="D2" s="48" t="s">
        <v>5</v>
      </c>
      <c r="E2" s="46">
        <f t="shared" ref="E2:E10" si="1">A2*C2</f>
        <v>10</v>
      </c>
    </row>
    <row r="3" spans="1:5" ht="15.75" thickBot="1" x14ac:dyDescent="0.3">
      <c r="A3" s="39">
        <f t="shared" si="0"/>
        <v>5</v>
      </c>
      <c r="B3" s="41" t="s">
        <v>3</v>
      </c>
      <c r="C3" s="44">
        <v>3</v>
      </c>
      <c r="D3" s="48" t="s">
        <v>5</v>
      </c>
      <c r="E3" s="46">
        <f t="shared" si="1"/>
        <v>15</v>
      </c>
    </row>
    <row r="4" spans="1:5" ht="15.75" thickBot="1" x14ac:dyDescent="0.3">
      <c r="A4" s="39">
        <f t="shared" si="0"/>
        <v>5</v>
      </c>
      <c r="B4" s="41" t="s">
        <v>3</v>
      </c>
      <c r="C4" s="44">
        <v>4</v>
      </c>
      <c r="D4" s="48" t="s">
        <v>5</v>
      </c>
      <c r="E4" s="46">
        <f t="shared" si="1"/>
        <v>20</v>
      </c>
    </row>
    <row r="5" spans="1:5" ht="15.75" thickBot="1" x14ac:dyDescent="0.3">
      <c r="A5" s="39">
        <f t="shared" si="0"/>
        <v>5</v>
      </c>
      <c r="B5" s="41" t="s">
        <v>3</v>
      </c>
      <c r="C5" s="44">
        <v>5</v>
      </c>
      <c r="D5" s="48" t="s">
        <v>5</v>
      </c>
      <c r="E5" s="46">
        <f t="shared" si="1"/>
        <v>25</v>
      </c>
    </row>
    <row r="6" spans="1:5" ht="15.75" thickBot="1" x14ac:dyDescent="0.3">
      <c r="A6" s="39">
        <f t="shared" si="0"/>
        <v>5</v>
      </c>
      <c r="B6" s="41" t="s">
        <v>3</v>
      </c>
      <c r="C6" s="44">
        <v>6</v>
      </c>
      <c r="D6" s="48" t="s">
        <v>5</v>
      </c>
      <c r="E6" s="46">
        <f t="shared" si="1"/>
        <v>30</v>
      </c>
    </row>
    <row r="7" spans="1:5" ht="15.75" thickBot="1" x14ac:dyDescent="0.3">
      <c r="A7" s="39">
        <f t="shared" si="0"/>
        <v>5</v>
      </c>
      <c r="B7" s="41" t="s">
        <v>3</v>
      </c>
      <c r="C7" s="44">
        <v>7</v>
      </c>
      <c r="D7" s="48" t="s">
        <v>5</v>
      </c>
      <c r="E7" s="46">
        <f t="shared" si="1"/>
        <v>35</v>
      </c>
    </row>
    <row r="8" spans="1:5" ht="15.75" thickBot="1" x14ac:dyDescent="0.3">
      <c r="A8" s="39">
        <f t="shared" si="0"/>
        <v>5</v>
      </c>
      <c r="B8" s="41" t="s">
        <v>3</v>
      </c>
      <c r="C8" s="44">
        <v>8</v>
      </c>
      <c r="D8" s="48" t="s">
        <v>5</v>
      </c>
      <c r="E8" s="46">
        <f t="shared" si="1"/>
        <v>40</v>
      </c>
    </row>
    <row r="9" spans="1:5" ht="15.75" thickBot="1" x14ac:dyDescent="0.3">
      <c r="A9" s="39">
        <f t="shared" si="0"/>
        <v>5</v>
      </c>
      <c r="B9" s="41" t="s">
        <v>3</v>
      </c>
      <c r="C9" s="44">
        <v>9</v>
      </c>
      <c r="D9" s="48" t="s">
        <v>5</v>
      </c>
      <c r="E9" s="46">
        <f t="shared" si="1"/>
        <v>45</v>
      </c>
    </row>
    <row r="10" spans="1:5" ht="15.75" thickBot="1" x14ac:dyDescent="0.3">
      <c r="A10" s="39">
        <f t="shared" si="0"/>
        <v>5</v>
      </c>
      <c r="B10" s="42" t="s">
        <v>3</v>
      </c>
      <c r="C10" s="45">
        <v>10</v>
      </c>
      <c r="D10" s="49" t="s">
        <v>5</v>
      </c>
      <c r="E10" s="46">
        <f t="shared" si="1"/>
        <v>50</v>
      </c>
    </row>
    <row r="11" spans="1:5" ht="15.75" thickBot="1" x14ac:dyDescent="0.3">
      <c r="D11" s="3"/>
    </row>
    <row r="12" spans="1:5" ht="15.75" thickBot="1" x14ac:dyDescent="0.3">
      <c r="D12" s="6" t="s">
        <v>4</v>
      </c>
      <c r="E12" s="5">
        <v>5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1]!Multi">
                <anchor moveWithCells="1" sizeWithCells="1">
                  <from>
                    <xdr:col>5</xdr:col>
                    <xdr:colOff>161925</xdr:colOff>
                    <xdr:row>10</xdr:row>
                    <xdr:rowOff>38100</xdr:rowOff>
                  </from>
                  <to>
                    <xdr:col>6</xdr:col>
                    <xdr:colOff>571500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1]!coloresc">
                <anchor moveWithCells="1" sizeWithCells="1">
                  <from>
                    <xdr:col>6</xdr:col>
                    <xdr:colOff>685800</xdr:colOff>
                    <xdr:row>1</xdr:row>
                    <xdr:rowOff>47625</xdr:rowOff>
                  </from>
                  <to>
                    <xdr:col>8</xdr:col>
                    <xdr:colOff>361950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25"/>
  <sheetViews>
    <sheetView workbookViewId="0">
      <selection activeCell="F13" sqref="F13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5" ht="15.75" thickBot="1" x14ac:dyDescent="0.3">
      <c r="A1" s="31" t="s">
        <v>8</v>
      </c>
      <c r="B1" s="7" t="s">
        <v>27</v>
      </c>
      <c r="C1" s="8" t="s">
        <v>41</v>
      </c>
      <c r="D1" s="8" t="s">
        <v>42</v>
      </c>
      <c r="E1" t="s">
        <v>43</v>
      </c>
    </row>
    <row r="2" spans="1:5" ht="15.75" thickBot="1" x14ac:dyDescent="0.3">
      <c r="A2" s="32" t="s">
        <v>9</v>
      </c>
      <c r="B2" s="19" t="s">
        <v>10</v>
      </c>
      <c r="C2" s="20" t="s">
        <v>11</v>
      </c>
      <c r="D2" s="20" t="s">
        <v>12</v>
      </c>
      <c r="E2" s="21" t="s">
        <v>29</v>
      </c>
    </row>
    <row r="3" spans="1:5" ht="15.75" thickTop="1" x14ac:dyDescent="0.25">
      <c r="A3" s="33" t="s">
        <v>13</v>
      </c>
      <c r="B3" s="12">
        <v>500</v>
      </c>
      <c r="C3" s="36">
        <f ca="1">SUM(C2:C1048566)</f>
        <v>0</v>
      </c>
      <c r="D3" s="13">
        <f t="shared" ref="D3:D15" ca="1" si="0">B3*C3</f>
        <v>75</v>
      </c>
      <c r="E3">
        <f ca="1">C3*$B$19*B3</f>
        <v>9.75</v>
      </c>
    </row>
    <row r="4" spans="1:5" x14ac:dyDescent="0.25">
      <c r="A4" s="34" t="s">
        <v>14</v>
      </c>
      <c r="B4" s="14">
        <v>2347</v>
      </c>
      <c r="C4" s="15">
        <v>1.8</v>
      </c>
      <c r="D4" s="15">
        <f t="shared" si="0"/>
        <v>4224.6000000000004</v>
      </c>
      <c r="E4">
        <f t="shared" ref="E4:E15" si="1">C4*$B$19*B4</f>
        <v>549.19799999999998</v>
      </c>
    </row>
    <row r="5" spans="1:5" x14ac:dyDescent="0.25">
      <c r="A5" s="34" t="s">
        <v>15</v>
      </c>
      <c r="B5" s="14">
        <v>260</v>
      </c>
      <c r="C5" s="15">
        <v>1.9</v>
      </c>
      <c r="D5" s="15">
        <f t="shared" si="0"/>
        <v>494</v>
      </c>
      <c r="E5">
        <f t="shared" si="1"/>
        <v>64.22</v>
      </c>
    </row>
    <row r="6" spans="1:5" x14ac:dyDescent="0.25">
      <c r="A6" s="34" t="s">
        <v>16</v>
      </c>
      <c r="B6" s="14">
        <v>230</v>
      </c>
      <c r="C6" s="15">
        <v>1.7</v>
      </c>
      <c r="D6" s="15">
        <f t="shared" si="0"/>
        <v>391</v>
      </c>
      <c r="E6">
        <f t="shared" si="1"/>
        <v>50.83</v>
      </c>
    </row>
    <row r="7" spans="1:5" x14ac:dyDescent="0.25">
      <c r="A7" s="34" t="s">
        <v>17</v>
      </c>
      <c r="B7" s="14">
        <v>700</v>
      </c>
      <c r="C7" s="15">
        <v>6</v>
      </c>
      <c r="D7" s="15">
        <f t="shared" si="0"/>
        <v>4200</v>
      </c>
      <c r="E7">
        <f t="shared" si="1"/>
        <v>546</v>
      </c>
    </row>
    <row r="8" spans="1:5" x14ac:dyDescent="0.25">
      <c r="A8" s="34" t="s">
        <v>18</v>
      </c>
      <c r="B8" s="14">
        <v>3500</v>
      </c>
      <c r="C8" s="15">
        <v>0.2</v>
      </c>
      <c r="D8" s="15">
        <f t="shared" si="0"/>
        <v>700</v>
      </c>
      <c r="E8">
        <f t="shared" si="1"/>
        <v>91.000000000000014</v>
      </c>
    </row>
    <row r="9" spans="1:5" x14ac:dyDescent="0.25">
      <c r="A9" s="34" t="s">
        <v>19</v>
      </c>
      <c r="B9" s="14">
        <v>7000</v>
      </c>
      <c r="C9" s="15">
        <v>0.1</v>
      </c>
      <c r="D9" s="15">
        <f t="shared" si="0"/>
        <v>700</v>
      </c>
      <c r="E9">
        <f t="shared" si="1"/>
        <v>91.000000000000014</v>
      </c>
    </row>
    <row r="10" spans="1:5" x14ac:dyDescent="0.25">
      <c r="A10" s="34" t="s">
        <v>20</v>
      </c>
      <c r="B10" s="16">
        <v>750</v>
      </c>
      <c r="C10" s="15">
        <v>1.7</v>
      </c>
      <c r="D10" s="15">
        <f t="shared" si="0"/>
        <v>1275</v>
      </c>
      <c r="E10">
        <f t="shared" si="1"/>
        <v>165.75</v>
      </c>
    </row>
    <row r="11" spans="1:5" x14ac:dyDescent="0.25">
      <c r="A11" s="34" t="s">
        <v>21</v>
      </c>
      <c r="B11" s="14">
        <v>980</v>
      </c>
      <c r="C11" s="15">
        <v>3</v>
      </c>
      <c r="D11" s="15">
        <f t="shared" si="0"/>
        <v>2940</v>
      </c>
      <c r="E11">
        <f t="shared" si="1"/>
        <v>382.2</v>
      </c>
    </row>
    <row r="12" spans="1:5" x14ac:dyDescent="0.25">
      <c r="A12" s="34" t="s">
        <v>22</v>
      </c>
      <c r="B12" s="14">
        <v>752</v>
      </c>
      <c r="C12" s="15">
        <v>3</v>
      </c>
      <c r="D12" s="15">
        <f t="shared" si="0"/>
        <v>2256</v>
      </c>
      <c r="E12">
        <f t="shared" si="1"/>
        <v>293.28000000000003</v>
      </c>
    </row>
    <row r="13" spans="1:5" x14ac:dyDescent="0.25">
      <c r="A13" s="34" t="s">
        <v>23</v>
      </c>
      <c r="B13" s="14">
        <v>7080</v>
      </c>
      <c r="C13" s="15">
        <v>2</v>
      </c>
      <c r="D13" s="15">
        <f t="shared" si="0"/>
        <v>14160</v>
      </c>
      <c r="E13">
        <f t="shared" si="1"/>
        <v>1840.8</v>
      </c>
    </row>
    <row r="14" spans="1:5" x14ac:dyDescent="0.25">
      <c r="A14" s="34" t="s">
        <v>24</v>
      </c>
      <c r="B14" s="14">
        <v>6320</v>
      </c>
      <c r="C14" s="15">
        <v>0.4</v>
      </c>
      <c r="D14" s="15">
        <f t="shared" si="0"/>
        <v>2528</v>
      </c>
      <c r="E14">
        <f t="shared" si="1"/>
        <v>328.64000000000004</v>
      </c>
    </row>
    <row r="15" spans="1:5" ht="15.75" thickBot="1" x14ac:dyDescent="0.3">
      <c r="A15" s="35" t="s">
        <v>25</v>
      </c>
      <c r="B15" s="17">
        <v>789</v>
      </c>
      <c r="C15" s="18">
        <v>0.45</v>
      </c>
      <c r="D15" s="18">
        <f t="shared" si="0"/>
        <v>355.05</v>
      </c>
      <c r="E15">
        <f t="shared" si="1"/>
        <v>46.156500000000001</v>
      </c>
    </row>
    <row r="16" spans="1:5" ht="15.75" thickBot="1" x14ac:dyDescent="0.3">
      <c r="C16" s="9"/>
      <c r="D16" s="9"/>
    </row>
    <row r="17" spans="1:5" ht="15.75" thickBot="1" x14ac:dyDescent="0.3">
      <c r="A17" s="10" t="s">
        <v>26</v>
      </c>
      <c r="B17" s="22">
        <f>SUM(B3:B16)</f>
        <v>31208</v>
      </c>
      <c r="C17" s="23">
        <f>SUM(C4:C16)</f>
        <v>22.249999999999996</v>
      </c>
      <c r="D17" s="30">
        <f ca="1">SUM(D3:D16)</f>
        <v>34298.65</v>
      </c>
      <c r="E17">
        <f>SUM(E4:E16)</f>
        <v>4449.0745000000006</v>
      </c>
    </row>
    <row r="19" spans="1:5" x14ac:dyDescent="0.25">
      <c r="A19" s="11" t="s">
        <v>28</v>
      </c>
      <c r="B19" s="24">
        <v>0.13</v>
      </c>
    </row>
    <row r="21" spans="1:5" x14ac:dyDescent="0.25">
      <c r="A21" t="s">
        <v>30</v>
      </c>
    </row>
    <row r="22" spans="1:5" x14ac:dyDescent="0.25">
      <c r="A22" t="s">
        <v>31</v>
      </c>
      <c r="D22" s="29"/>
    </row>
    <row r="23" spans="1:5" x14ac:dyDescent="0.25">
      <c r="A23" t="s">
        <v>32</v>
      </c>
      <c r="D23" s="29"/>
    </row>
    <row r="24" spans="1:5" x14ac:dyDescent="0.25">
      <c r="A24" t="s">
        <v>33</v>
      </c>
      <c r="E24" s="29"/>
    </row>
    <row r="25" spans="1:5" x14ac:dyDescent="0.25">
      <c r="A25" t="s">
        <v>34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SUMATOTAL">
                <anchor moveWithCells="1" sizeWithCells="1">
                  <from>
                    <xdr:col>7</xdr:col>
                    <xdr:colOff>438150</xdr:colOff>
                    <xdr:row>2</xdr:row>
                    <xdr:rowOff>0</xdr:rowOff>
                  </from>
                  <to>
                    <xdr:col>9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1]!sumaiva">
                <anchor moveWithCells="1" sizeWithCells="1">
                  <from>
                    <xdr:col>7</xdr:col>
                    <xdr:colOff>161925</xdr:colOff>
                    <xdr:row>5</xdr:row>
                    <xdr:rowOff>180975</xdr:rowOff>
                  </from>
                  <to>
                    <xdr:col>9</xdr:col>
                    <xdr:colOff>133350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1]!TotalIVAA">
                <anchor moveWithCells="1" sizeWithCells="1">
                  <from>
                    <xdr:col>7</xdr:col>
                    <xdr:colOff>190500</xdr:colOff>
                    <xdr:row>11</xdr:row>
                    <xdr:rowOff>95250</xdr:rowOff>
                  </from>
                  <to>
                    <xdr:col>9</xdr:col>
                    <xdr:colOff>238125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5"/>
  <sheetViews>
    <sheetView workbookViewId="0">
      <selection activeCell="G3" sqref="G3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6" x14ac:dyDescent="0.25">
      <c r="A1" s="25" t="s">
        <v>36</v>
      </c>
      <c r="B1" s="26" t="s">
        <v>35</v>
      </c>
      <c r="C1" s="27" t="s">
        <v>37</v>
      </c>
      <c r="D1" s="28" t="s">
        <v>38</v>
      </c>
    </row>
    <row r="2" spans="1:6" ht="21" x14ac:dyDescent="0.35">
      <c r="A2" s="37" t="s">
        <v>46</v>
      </c>
      <c r="B2" s="37" t="s">
        <v>57</v>
      </c>
      <c r="C2" s="37" t="s">
        <v>47</v>
      </c>
      <c r="D2" s="37" t="s">
        <v>58</v>
      </c>
    </row>
    <row r="3" spans="1:6" x14ac:dyDescent="0.25">
      <c r="F3" t="s">
        <v>59</v>
      </c>
    </row>
    <row r="5" spans="1:6" x14ac:dyDescent="0.25">
      <c r="A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E9"/>
  <sheetViews>
    <sheetView zoomScale="160" zoomScaleNormal="160" workbookViewId="0">
      <selection activeCell="F10" sqref="F10"/>
    </sheetView>
  </sheetViews>
  <sheetFormatPr baseColWidth="10" defaultRowHeight="15" x14ac:dyDescent="0.25"/>
  <cols>
    <col min="1" max="2" width="12" customWidth="1"/>
    <col min="3" max="3" width="17.28515625" customWidth="1"/>
    <col min="4" max="4" width="16" customWidth="1"/>
    <col min="5" max="5" width="12.28515625" customWidth="1"/>
  </cols>
  <sheetData>
    <row r="1" spans="1:5" x14ac:dyDescent="0.25">
      <c r="A1" t="s">
        <v>40</v>
      </c>
    </row>
    <row r="4" spans="1:5" x14ac:dyDescent="0.25">
      <c r="A4" t="s">
        <v>44</v>
      </c>
      <c r="B4" t="s">
        <v>45</v>
      </c>
      <c r="C4" t="s">
        <v>55</v>
      </c>
      <c r="D4" t="s">
        <v>50</v>
      </c>
      <c r="E4" t="s">
        <v>51</v>
      </c>
    </row>
    <row r="5" spans="1:5" x14ac:dyDescent="0.25">
      <c r="A5" t="s">
        <v>46</v>
      </c>
      <c r="B5" t="s">
        <v>47</v>
      </c>
      <c r="C5" t="str">
        <f t="shared" ref="C5:C6" si="0">CONCATENATE(A5,B5)</f>
        <v>StevenVasquez</v>
      </c>
      <c r="D5">
        <v>10</v>
      </c>
      <c r="E5">
        <f>D5*$B$9</f>
        <v>25</v>
      </c>
    </row>
    <row r="6" spans="1:5" x14ac:dyDescent="0.25">
      <c r="A6" t="s">
        <v>48</v>
      </c>
      <c r="B6" t="s">
        <v>52</v>
      </c>
      <c r="C6" t="str">
        <f t="shared" si="0"/>
        <v>JoyJones</v>
      </c>
      <c r="D6">
        <v>15</v>
      </c>
      <c r="E6">
        <f t="shared" ref="E6:E7" si="1">D6*$B$9</f>
        <v>37.5</v>
      </c>
    </row>
    <row r="7" spans="1:5" x14ac:dyDescent="0.25">
      <c r="A7" t="s">
        <v>53</v>
      </c>
      <c r="B7" t="s">
        <v>54</v>
      </c>
      <c r="C7" t="str">
        <f>CONCATENATE(A7,B7)</f>
        <v>FranCasio</v>
      </c>
      <c r="D7">
        <v>4</v>
      </c>
      <c r="E7">
        <f t="shared" si="1"/>
        <v>10</v>
      </c>
    </row>
    <row r="8" spans="1:5" x14ac:dyDescent="0.25">
      <c r="A8" t="s">
        <v>56</v>
      </c>
      <c r="B8" t="s">
        <v>56</v>
      </c>
      <c r="C8" t="str">
        <f>CONCATENATE(A8,B8)</f>
        <v>josejose</v>
      </c>
      <c r="D8">
        <v>19</v>
      </c>
      <c r="E8">
        <f>D8*$B$9</f>
        <v>47.5</v>
      </c>
    </row>
    <row r="9" spans="1:5" x14ac:dyDescent="0.25">
      <c r="A9" t="s">
        <v>49</v>
      </c>
      <c r="B9">
        <v>2.5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TotalHoras">
                <anchor moveWithCells="1" sizeWithCells="1">
                  <from>
                    <xdr:col>6</xdr:col>
                    <xdr:colOff>247650</xdr:colOff>
                    <xdr:row>1</xdr:row>
                    <xdr:rowOff>171450</xdr:rowOff>
                  </from>
                  <to>
                    <xdr:col>7</xdr:col>
                    <xdr:colOff>266700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Estudiante</cp:lastModifiedBy>
  <dcterms:created xsi:type="dcterms:W3CDTF">2022-09-28T06:37:15Z</dcterms:created>
  <dcterms:modified xsi:type="dcterms:W3CDTF">2022-09-28T18:02:11Z</dcterms:modified>
</cp:coreProperties>
</file>