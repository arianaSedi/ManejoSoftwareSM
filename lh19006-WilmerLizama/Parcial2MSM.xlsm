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0730" windowHeight="11160" activeTab="4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C10" i="1"/>
  <c r="D10" i="1"/>
  <c r="E10" i="1"/>
  <c r="F10" i="1"/>
  <c r="G10" i="1"/>
  <c r="H10" i="1"/>
  <c r="I10" i="1"/>
  <c r="J10" i="1"/>
  <c r="K10" i="1"/>
  <c r="B10" i="1"/>
  <c r="C9" i="1"/>
  <c r="D9" i="1"/>
  <c r="E9" i="1"/>
  <c r="F9" i="1"/>
  <c r="G9" i="1"/>
  <c r="H9" i="1"/>
  <c r="I9" i="1"/>
  <c r="J9" i="1"/>
  <c r="K9" i="1"/>
  <c r="B9" i="1"/>
  <c r="C8" i="1"/>
  <c r="D8" i="1"/>
  <c r="E8" i="1"/>
  <c r="F8" i="1"/>
  <c r="G8" i="1"/>
  <c r="H8" i="1"/>
  <c r="I8" i="1"/>
  <c r="J8" i="1"/>
  <c r="K8" i="1"/>
  <c r="B8" i="1"/>
  <c r="C7" i="1"/>
  <c r="D7" i="1"/>
  <c r="E7" i="1"/>
  <c r="F7" i="1"/>
  <c r="G7" i="1"/>
  <c r="H7" i="1"/>
  <c r="I7" i="1"/>
  <c r="J7" i="1"/>
  <c r="K7" i="1"/>
  <c r="B7" i="1"/>
  <c r="C6" i="1"/>
  <c r="D6" i="1"/>
  <c r="E6" i="1"/>
  <c r="F6" i="1"/>
  <c r="G6" i="1"/>
  <c r="H6" i="1"/>
  <c r="I6" i="1"/>
  <c r="J6" i="1"/>
  <c r="K6" i="1"/>
  <c r="B6" i="1"/>
  <c r="C5" i="1"/>
  <c r="D5" i="1"/>
  <c r="E5" i="1"/>
  <c r="F5" i="1"/>
  <c r="G5" i="1"/>
  <c r="H5" i="1"/>
  <c r="I5" i="1"/>
  <c r="J5" i="1"/>
  <c r="K5" i="1"/>
  <c r="B5" i="1"/>
  <c r="C4" i="1"/>
  <c r="D4" i="1"/>
  <c r="E4" i="1"/>
  <c r="F4" i="1"/>
  <c r="G4" i="1"/>
  <c r="H4" i="1"/>
  <c r="I4" i="1"/>
  <c r="J4" i="1"/>
  <c r="K4" i="1"/>
  <c r="B4" i="1"/>
  <c r="C3" i="1"/>
  <c r="D3" i="1"/>
  <c r="E3" i="1"/>
  <c r="F3" i="1"/>
  <c r="G3" i="1"/>
  <c r="H3" i="1"/>
  <c r="I3" i="1"/>
  <c r="J3" i="1"/>
  <c r="K3" i="1"/>
  <c r="B3" i="1"/>
  <c r="C2" i="1"/>
  <c r="D2" i="1"/>
  <c r="E2" i="1"/>
  <c r="F2" i="1"/>
  <c r="G2" i="1"/>
  <c r="H2" i="1"/>
  <c r="I2" i="1"/>
  <c r="J2" i="1"/>
  <c r="K2" i="1"/>
  <c r="B2" i="1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B17" i="3"/>
  <c r="C17" i="3"/>
  <c r="D17" i="3"/>
  <c r="E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E7" i="5"/>
  <c r="E8" i="5"/>
  <c r="E9" i="5"/>
  <c r="E10" i="5"/>
  <c r="E11" i="5"/>
  <c r="E12" i="5"/>
  <c r="E13" i="5"/>
  <c r="E14" i="5"/>
  <c r="E6" i="5"/>
  <c r="D15" i="3" l="1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<sst xmlns="http://schemas.openxmlformats.org/spreadsheetml/2006/main" count="86" uniqueCount="66">
  <si>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</si>
  <si>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</si>
  <si>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</si>
  <si>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</si>
  <si>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</si>
  <si>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</si>
  <si>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</si>
  <si>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</si>
  <si>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</si>
  <si>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</si>
  <si>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</si>
  <si>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</si>
  <si>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</si>
  <si>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</si>
  <si>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</si>
  <si>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</si>
  <si>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</si>
  <si>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</si>
  <si>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</si>
  <si>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</si>
  <si>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</si>
  <si>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</si>
  <si>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</si>
  <si>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</si>
  <si>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</si>
  <si>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</si>
  <si>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</si>
  <si>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</si>
  <si>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</si>
  <si>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</si>
  <si>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</si>
  <si>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</si>
  <si>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</si>
  <si>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</si>
  <si>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</si>
  <si>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</si>
  <si>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</si>
  <si>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</si>
  <si>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</si>
  <si>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</si>
  <si>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</si>
  <si>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Precio</t>
  </si>
  <si>
    <t>Will</t>
  </si>
  <si>
    <t>Michel</t>
  </si>
  <si>
    <t>Rose</t>
  </si>
  <si>
    <t>Cama</t>
  </si>
  <si>
    <t>Refrigeradora</t>
  </si>
  <si>
    <t>Microondas</t>
  </si>
  <si>
    <t>Bicicleta</t>
  </si>
  <si>
    <t>Sofá</t>
  </si>
  <si>
    <t>Pantalla</t>
  </si>
  <si>
    <t>Empleado</t>
  </si>
  <si>
    <t xml:space="preserve">Cantidad </t>
  </si>
  <si>
    <t>Venta</t>
  </si>
  <si>
    <t>Josh</t>
  </si>
  <si>
    <t>Steve</t>
  </si>
  <si>
    <t>Rikk</t>
  </si>
  <si>
    <t>Mauri</t>
  </si>
  <si>
    <t>Jimm</t>
  </si>
  <si>
    <t>Joe</t>
  </si>
  <si>
    <t>Smartphone</t>
  </si>
  <si>
    <t>Horno</t>
  </si>
  <si>
    <t>Computadora</t>
  </si>
  <si>
    <t>Bell</t>
  </si>
  <si>
    <t>Ross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</si>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</sst>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i/>
      <sz val="11"/>
      <color indexed="12"/>
      <name val="Calibri"/>
      <family val="2"/>
      <scheme val="minor"/>
    </font>
    <font>
      <b/>
      <i/>
      <sz val="11"/>
      <color indexed="17"/>
      <name val="Calibri"/>
      <family val="2"/>
      <scheme val="minor"/>
    </font>
    <font>
      <b/>
      <i/>
      <sz val="12"/>
      <color indexed="17"/>
      <name val="Calibri"/>
      <family val="2"/>
      <scheme val="minor"/>
    </font>
    <font>
      <sz val="12"/>
      <color theme="4"/>
      <name val="Arial"/>
      <family val="2"/>
    </font>
    <font>
      <b/>
      <i/>
      <sz val="11"/>
      <color indexed="11"/>
      <name val="Calibri"/>
      <family val="2"/>
      <scheme val="minor"/>
    </font>
    <font>
      <b/>
      <i/>
      <sz val="11"/>
      <color indexed="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left" indent="1"/>
    </xf>
    <xf numFmtId="1" fontId="0" fillId="0" borderId="0" xfId="0" applyNumberFormat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4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3" fontId="6" fillId="0" borderId="14" xfId="0" applyNumberFormat="1" applyFont="1" applyFill="1" applyBorder="1" applyAlignment="1">
      <alignment horizontal="center" vertical="center"/>
    </xf>
    <xf numFmtId="164" fontId="6" fillId="0" borderId="3" xfId="0" applyNumberFormat="1" applyFont="1" applyFill="1" applyBorder="1" applyAlignment="1">
      <alignment horizontal="center" vertical="center"/>
    </xf>
    <xf numFmtId="164" fontId="3" fillId="0" borderId="3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left" indent="1"/>
    </xf>
    <xf numFmtId="164" fontId="0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4" fillId="6" borderId="13" xfId="0" applyNumberFormat="1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164" fontId="4" fillId="6" borderId="6" xfId="0" applyNumberFormat="1" applyFont="1" applyFill="1" applyBorder="1" applyAlignment="1">
      <alignment horizontal="center" vertical="center"/>
    </xf>
    <xf numFmtId="0" fontId="2" fillId="3" borderId="19" xfId="0" applyNumberFormat="1" applyFont="1" applyFill="1" applyBorder="1"/>
    <xf numFmtId="0" fontId="0" fillId="3" borderId="19" xfId="0" applyNumberFormat="1" applyFill="1" applyBorder="1"/>
    <xf numFmtId="0" fontId="0" fillId="0" borderId="0" xfId="0" applyNumberFormat="1"/>
    <xf numFmtId="0" fontId="4" fillId="4" borderId="21" xfId="0" applyNumberFormat="1" applyFont="1" applyFill="1" applyBorder="1" applyAlignment="1">
      <alignment horizontal="center" vertical="center"/>
    </xf>
    <xf numFmtId="0" fontId="4" fillId="4" borderId="22" xfId="0" applyNumberFormat="1" applyFont="1" applyFill="1" applyBorder="1" applyAlignment="1">
      <alignment horizontal="center" vertical="center"/>
    </xf>
    <xf numFmtId="10" fontId="0" fillId="7" borderId="0" xfId="0" applyNumberFormat="1" applyFill="1"/>
    <xf numFmtId="164" fontId="0" fillId="0" borderId="1" xfId="0" applyNumberFormat="1" applyBorder="1"/>
    <xf numFmtId="0" fontId="0" fillId="0" borderId="1" xfId="0" applyNumberFormat="1" applyFont="1" applyBorder="1"/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0" fontId="10" fillId="0" borderId="1" xfId="0" applyFont="1" applyBorder="1"/>
    <xf numFmtId="1" fontId="0" fillId="2" borderId="15" xfId="0" applyNumberFormat="1" applyFill="1" applyBorder="1"/>
    <xf numFmtId="0" fontId="0" fillId="2" borderId="16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49" fontId="0" fillId="9" borderId="0" xfId="0" applyNumberFormat="1" applyFill="1" applyAlignment="1">
      <alignment horizontal="center"/>
    </xf>
    <xf numFmtId="1" fontId="0" fillId="9" borderId="0" xfId="0" applyNumberFormat="1" applyFill="1"/>
    <xf numFmtId="49" fontId="0" fillId="10" borderId="16" xfId="0" applyNumberFormat="1" applyFill="1" applyBorder="1" applyAlignment="1">
      <alignment horizontal="center"/>
    </xf>
    <xf numFmtId="49" fontId="0" fillId="10" borderId="1" xfId="0" applyNumberFormat="1" applyFill="1" applyBorder="1" applyAlignment="1">
      <alignment horizontal="center"/>
    </xf>
    <xf numFmtId="49" fontId="0" fillId="10" borderId="6" xfId="0" applyNumberFormat="1" applyFill="1" applyBorder="1" applyAlignment="1">
      <alignment horizontal="center"/>
    </xf>
    <xf numFmtId="1" fontId="0" fillId="12" borderId="17" xfId="0" applyNumberFormat="1" applyFill="1" applyBorder="1"/>
    <xf numFmtId="1" fontId="0" fillId="12" borderId="2" xfId="0" applyNumberFormat="1" applyFill="1" applyBorder="1"/>
    <xf numFmtId="1" fontId="0" fillId="11" borderId="14" xfId="1" applyNumberFormat="1" applyFont="1" applyFill="1" applyBorder="1" applyAlignment="1">
      <alignment horizontal="center"/>
    </xf>
    <xf numFmtId="1" fontId="0" fillId="11" borderId="3" xfId="1" applyNumberFormat="1" applyFont="1" applyFill="1" applyBorder="1" applyAlignment="1">
      <alignment horizontal="center"/>
    </xf>
    <xf numFmtId="1" fontId="0" fillId="11" borderId="4" xfId="1" applyNumberFormat="1" applyFon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1" fontId="0" fillId="5" borderId="12" xfId="0" applyNumberFormat="1" applyFill="1" applyBorder="1" applyAlignment="1">
      <alignment horizontal="center"/>
    </xf>
    <xf numFmtId="1" fontId="0" fillId="12" borderId="11" xfId="0" applyNumberFormat="1" applyFill="1" applyBorder="1" applyAlignment="1">
      <alignment horizontal="center"/>
    </xf>
    <xf numFmtId="1" fontId="0" fillId="12" borderId="9" xfId="0" applyNumberFormat="1" applyFill="1" applyBorder="1" applyAlignment="1">
      <alignment horizontal="center"/>
    </xf>
    <xf numFmtId="1" fontId="0" fillId="12" borderId="10" xfId="0" applyNumberFormat="1" applyFill="1" applyBorder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180975</xdr:rowOff>
        </xdr:from>
        <xdr:to>
          <xdr:col>13</xdr:col>
          <xdr:colOff>695325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1" u="none" strike="noStrike" baseline="0">
                  <a:solidFill>
                    <a:srgbClr val="333399"/>
                  </a:solidFill>
                  <a:latin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3</xdr:row>
          <xdr:rowOff>9525</xdr:rowOff>
        </xdr:from>
        <xdr:to>
          <xdr:col>13</xdr:col>
          <xdr:colOff>571500</xdr:colOff>
          <xdr:row>4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1" u="none" strike="noStrike" baseline="0">
                  <a:solidFill>
                    <a:srgbClr val="333399"/>
                  </a:solidFill>
                  <a:latin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0</xdr:rowOff>
        </xdr:from>
        <xdr:to>
          <xdr:col>7</xdr:col>
          <xdr:colOff>285750</xdr:colOff>
          <xdr:row>2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1" u="none" strike="noStrike" baseline="0">
                  <a:solidFill>
                    <a:srgbClr val="008000"/>
                  </a:solidFill>
                  <a:latin typeface="Calibri"/>
                </a:rPr>
                <a:t>MULTIPLICAR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</xdr:row>
          <xdr:rowOff>190500</xdr:rowOff>
        </xdr:from>
        <xdr:to>
          <xdr:col>7</xdr:col>
          <xdr:colOff>381000</xdr:colOff>
          <xdr:row>4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1" u="none" strike="noStrike" baseline="0">
                  <a:solidFill>
                    <a:srgbClr val="00FF00"/>
                  </a:solidFill>
                  <a:latin typeface="Calibri"/>
                </a:rPr>
                <a:t>COLORES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714375</xdr:colOff>
          <xdr:row>1</xdr:row>
          <xdr:rowOff>9525</xdr:rowOff>
        </xdr:from>
        <xdr:to>
          <xdr:col>7</xdr:col>
          <xdr:colOff>361950</xdr:colOff>
          <xdr:row>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200" b="1" i="1" u="none" strike="noStrike" baseline="0">
                  <a:solidFill>
                    <a:srgbClr val="008000"/>
                  </a:solidFill>
                  <a:latin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4</xdr:row>
          <xdr:rowOff>9525</xdr:rowOff>
        </xdr:from>
        <xdr:to>
          <xdr:col>7</xdr:col>
          <xdr:colOff>381000</xdr:colOff>
          <xdr:row>5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200" b="1" i="1" u="none" strike="noStrike" baseline="0">
                  <a:solidFill>
                    <a:srgbClr val="008000"/>
                  </a:solidFill>
                  <a:latin typeface="Calibri"/>
                </a:rPr>
                <a:t>Total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180975</xdr:rowOff>
        </xdr:from>
        <xdr:to>
          <xdr:col>7</xdr:col>
          <xdr:colOff>323850</xdr:colOff>
          <xdr:row>8</xdr:row>
          <xdr:rowOff>47625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200" b="1" i="1" u="none" strike="noStrike" baseline="0">
                  <a:solidFill>
                    <a:srgbClr val="008000"/>
                  </a:solidFill>
                  <a:latin typeface="Calibri"/>
                </a:rPr>
                <a:t>Sumatoria 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0</xdr:rowOff>
        </xdr:from>
        <xdr:to>
          <xdr:col>7</xdr:col>
          <xdr:colOff>352425</xdr:colOff>
          <xdr:row>10</xdr:row>
          <xdr:rowOff>47625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200" b="1" i="1" u="none" strike="noStrike" baseline="0">
                  <a:solidFill>
                    <a:srgbClr val="008000"/>
                  </a:solidFill>
                  <a:latin typeface="Calibri"/>
                </a:rPr>
                <a:t>Totales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161925</xdr:rowOff>
        </xdr:from>
        <xdr:to>
          <xdr:col>6</xdr:col>
          <xdr:colOff>457200</xdr:colOff>
          <xdr:row>2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200" b="1" i="1" u="none" strike="noStrike" baseline="0">
                  <a:solidFill>
                    <a:srgbClr val="008000"/>
                  </a:solidFill>
                  <a:latin typeface="Calibri"/>
                </a:rPr>
                <a:t>Texto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19049</xdr:colOff>
          <xdr:row>4</xdr:row>
          <xdr:rowOff>9525</xdr:rowOff>
        </xdr:from>
        <xdr:to>
          <xdr:col>7</xdr:col>
          <xdr:colOff>676274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1" i="1" u="none" strike="noStrike" baseline="0">
                  <a:solidFill>
                    <a:srgbClr val="0000FF"/>
                  </a:solidFill>
                  <a:latin typeface="Calibri"/>
                </a:rPr>
                <a:t>Total Venta</a:t>
              </a:r>
            </a:p>
            <a:p>
              <a:pPr algn="ctr" rtl="0">
                <a:defRPr sz="1000"/>
              </a:pPr>
              <a:endParaRPr lang="es-SV" sz="1100" b="1" i="1" u="none" strike="noStrike" baseline="0">
                <a:solidFill>
                  <a:srgbClr val="0000FF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s-SV" sz="1100" b="1" i="1" u="none" strike="noStrike" baseline="0">
                <a:solidFill>
                  <a:srgbClr val="0000FF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257175</xdr:colOff>
      <xdr:row>7</xdr:row>
      <xdr:rowOff>38101</xdr:rowOff>
    </xdr:from>
    <xdr:to>
      <xdr:col>12</xdr:col>
      <xdr:colOff>285750</xdr:colOff>
      <xdr:row>9</xdr:row>
      <xdr:rowOff>171451</xdr:rowOff>
    </xdr:to>
    <xdr:sp macro="" textlink="">
      <xdr:nvSpPr>
        <xdr:cNvPr id="2" name="1 CuadroTexto"/>
        <xdr:cNvSpPr txBox="1"/>
      </xdr:nvSpPr>
      <xdr:spPr>
        <a:xfrm>
          <a:off x="5524500" y="1371601"/>
          <a:ext cx="4600575" cy="514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SV" sz="1100"/>
            <a:t>La</a:t>
          </a:r>
          <a:r>
            <a:rPr lang="es-SV" sz="1100" baseline="0"/>
            <a:t> macro que se utiliza tiene la función de calcular la venta total realizada por un empleado de un almacén.</a:t>
          </a:r>
        </a:p>
        <a:p>
          <a:endParaRPr lang="es-SV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4"/>
  <sheetViews>
    <sheetView workbookViewId="0">
      <selection activeCell="M8" sqref="M8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59" t="s">
        <v>0</v>
      </c>
      <c r="B1" s="56">
        <v>1</v>
      </c>
      <c r="C1" s="57">
        <v>2</v>
      </c>
      <c r="D1" s="57">
        <v>3</v>
      </c>
      <c r="E1" s="57">
        <v>4</v>
      </c>
      <c r="F1" s="57">
        <v>5</v>
      </c>
      <c r="G1" s="57">
        <v>6</v>
      </c>
      <c r="H1" s="57">
        <v>7</v>
      </c>
      <c r="I1" s="57">
        <v>8</v>
      </c>
      <c r="J1" s="57">
        <v>9</v>
      </c>
      <c r="K1" s="58">
        <v>10</v>
      </c>
    </row>
    <row r="2" spans="1:11" x14ac:dyDescent="0.25">
      <c r="A2" s="61">
        <v>1</v>
      </c>
      <c r="B2" s="60">
        <f>$A$2*B1</f>
        <v>1</v>
      </c>
      <c r="C2" s="60">
        <f t="shared" ref="C2:K2" si="0">$A$2*C1</f>
        <v>2</v>
      </c>
      <c r="D2" s="60">
        <f t="shared" si="0"/>
        <v>3</v>
      </c>
      <c r="E2" s="60">
        <f t="shared" si="0"/>
        <v>4</v>
      </c>
      <c r="F2" s="60">
        <f t="shared" si="0"/>
        <v>5</v>
      </c>
      <c r="G2" s="60">
        <f t="shared" si="0"/>
        <v>6</v>
      </c>
      <c r="H2" s="60">
        <f t="shared" si="0"/>
        <v>7</v>
      </c>
      <c r="I2" s="60">
        <f t="shared" si="0"/>
        <v>8</v>
      </c>
      <c r="J2" s="60">
        <f t="shared" si="0"/>
        <v>9</v>
      </c>
      <c r="K2" s="60">
        <f t="shared" si="0"/>
        <v>10</v>
      </c>
    </row>
    <row r="3" spans="1:11" x14ac:dyDescent="0.25">
      <c r="A3" s="62">
        <v>2</v>
      </c>
      <c r="B3" s="60">
        <f>$A$3*B1</f>
        <v>2</v>
      </c>
      <c r="C3" s="60">
        <f t="shared" ref="C3:K3" si="1">$A$3*C1</f>
        <v>4</v>
      </c>
      <c r="D3" s="60">
        <f t="shared" si="1"/>
        <v>6</v>
      </c>
      <c r="E3" s="60">
        <f t="shared" si="1"/>
        <v>8</v>
      </c>
      <c r="F3" s="60">
        <f t="shared" si="1"/>
        <v>10</v>
      </c>
      <c r="G3" s="60">
        <f t="shared" si="1"/>
        <v>12</v>
      </c>
      <c r="H3" s="60">
        <f t="shared" si="1"/>
        <v>14</v>
      </c>
      <c r="I3" s="60">
        <f t="shared" si="1"/>
        <v>16</v>
      </c>
      <c r="J3" s="60">
        <f t="shared" si="1"/>
        <v>18</v>
      </c>
      <c r="K3" s="60">
        <f t="shared" si="1"/>
        <v>20</v>
      </c>
    </row>
    <row r="4" spans="1:11" x14ac:dyDescent="0.25">
      <c r="A4" s="62">
        <v>3</v>
      </c>
      <c r="B4" s="60">
        <f>$A$4*B1</f>
        <v>3</v>
      </c>
      <c r="C4" s="60">
        <f t="shared" ref="C4:K4" si="2">$A$4*C1</f>
        <v>6</v>
      </c>
      <c r="D4" s="60">
        <f t="shared" si="2"/>
        <v>9</v>
      </c>
      <c r="E4" s="60">
        <f t="shared" si="2"/>
        <v>12</v>
      </c>
      <c r="F4" s="60">
        <f t="shared" si="2"/>
        <v>15</v>
      </c>
      <c r="G4" s="60">
        <f t="shared" si="2"/>
        <v>18</v>
      </c>
      <c r="H4" s="60">
        <f t="shared" si="2"/>
        <v>21</v>
      </c>
      <c r="I4" s="60">
        <f t="shared" si="2"/>
        <v>24</v>
      </c>
      <c r="J4" s="60">
        <f t="shared" si="2"/>
        <v>27</v>
      </c>
      <c r="K4" s="60">
        <f t="shared" si="2"/>
        <v>30</v>
      </c>
    </row>
    <row r="5" spans="1:11" x14ac:dyDescent="0.25">
      <c r="A5" s="62">
        <v>4</v>
      </c>
      <c r="B5" s="60">
        <f>$A$5*B1</f>
        <v>4</v>
      </c>
      <c r="C5" s="60">
        <f t="shared" ref="C5:K5" si="3">$A$5*C1</f>
        <v>8</v>
      </c>
      <c r="D5" s="60">
        <f t="shared" si="3"/>
        <v>12</v>
      </c>
      <c r="E5" s="60">
        <f t="shared" si="3"/>
        <v>16</v>
      </c>
      <c r="F5" s="60">
        <f t="shared" si="3"/>
        <v>20</v>
      </c>
      <c r="G5" s="60">
        <f t="shared" si="3"/>
        <v>24</v>
      </c>
      <c r="H5" s="60">
        <f t="shared" si="3"/>
        <v>28</v>
      </c>
      <c r="I5" s="60">
        <f t="shared" si="3"/>
        <v>32</v>
      </c>
      <c r="J5" s="60">
        <f t="shared" si="3"/>
        <v>36</v>
      </c>
      <c r="K5" s="60">
        <f t="shared" si="3"/>
        <v>40</v>
      </c>
    </row>
    <row r="6" spans="1:11" x14ac:dyDescent="0.25">
      <c r="A6" s="62">
        <v>5</v>
      </c>
      <c r="B6" s="60">
        <f>$A$6*B1</f>
        <v>5</v>
      </c>
      <c r="C6" s="60">
        <f t="shared" ref="C6:K6" si="4">$A$6*C1</f>
        <v>10</v>
      </c>
      <c r="D6" s="60">
        <f t="shared" si="4"/>
        <v>15</v>
      </c>
      <c r="E6" s="60">
        <f t="shared" si="4"/>
        <v>20</v>
      </c>
      <c r="F6" s="60">
        <f t="shared" si="4"/>
        <v>25</v>
      </c>
      <c r="G6" s="60">
        <f t="shared" si="4"/>
        <v>30</v>
      </c>
      <c r="H6" s="60">
        <f t="shared" si="4"/>
        <v>35</v>
      </c>
      <c r="I6" s="60">
        <f t="shared" si="4"/>
        <v>40</v>
      </c>
      <c r="J6" s="60">
        <f t="shared" si="4"/>
        <v>45</v>
      </c>
      <c r="K6" s="60">
        <f t="shared" si="4"/>
        <v>50</v>
      </c>
    </row>
    <row r="7" spans="1:11" x14ac:dyDescent="0.25">
      <c r="A7" s="62">
        <v>6</v>
      </c>
      <c r="B7" s="60">
        <f>$A$7*B1</f>
        <v>6</v>
      </c>
      <c r="C7" s="60">
        <f t="shared" ref="C7:K7" si="5">$A$7*C1</f>
        <v>12</v>
      </c>
      <c r="D7" s="60">
        <f t="shared" si="5"/>
        <v>18</v>
      </c>
      <c r="E7" s="60">
        <f t="shared" si="5"/>
        <v>24</v>
      </c>
      <c r="F7" s="60">
        <f t="shared" si="5"/>
        <v>30</v>
      </c>
      <c r="G7" s="60">
        <f t="shared" si="5"/>
        <v>36</v>
      </c>
      <c r="H7" s="60">
        <f t="shared" si="5"/>
        <v>42</v>
      </c>
      <c r="I7" s="60">
        <f t="shared" si="5"/>
        <v>48</v>
      </c>
      <c r="J7" s="60">
        <f t="shared" si="5"/>
        <v>54</v>
      </c>
      <c r="K7" s="60">
        <f t="shared" si="5"/>
        <v>60</v>
      </c>
    </row>
    <row r="8" spans="1:11" x14ac:dyDescent="0.25">
      <c r="A8" s="62">
        <v>7</v>
      </c>
      <c r="B8" s="60">
        <f>$A$8*B1</f>
        <v>7</v>
      </c>
      <c r="C8" s="60">
        <f t="shared" ref="C8:K8" si="6">$A$8*C1</f>
        <v>14</v>
      </c>
      <c r="D8" s="60">
        <f t="shared" si="6"/>
        <v>21</v>
      </c>
      <c r="E8" s="60">
        <f t="shared" si="6"/>
        <v>28</v>
      </c>
      <c r="F8" s="60">
        <f t="shared" si="6"/>
        <v>35</v>
      </c>
      <c r="G8" s="60">
        <f t="shared" si="6"/>
        <v>42</v>
      </c>
      <c r="H8" s="60">
        <f t="shared" si="6"/>
        <v>49</v>
      </c>
      <c r="I8" s="60">
        <f t="shared" si="6"/>
        <v>56</v>
      </c>
      <c r="J8" s="60">
        <f t="shared" si="6"/>
        <v>63</v>
      </c>
      <c r="K8" s="60">
        <f t="shared" si="6"/>
        <v>70</v>
      </c>
    </row>
    <row r="9" spans="1:11" x14ac:dyDescent="0.25">
      <c r="A9" s="62">
        <v>8</v>
      </c>
      <c r="B9" s="60">
        <f>$A$9*B1</f>
        <v>8</v>
      </c>
      <c r="C9" s="60">
        <f t="shared" ref="C9:K9" si="7">$A$9*C1</f>
        <v>16</v>
      </c>
      <c r="D9" s="60">
        <f t="shared" si="7"/>
        <v>24</v>
      </c>
      <c r="E9" s="60">
        <f t="shared" si="7"/>
        <v>32</v>
      </c>
      <c r="F9" s="60">
        <f t="shared" si="7"/>
        <v>40</v>
      </c>
      <c r="G9" s="60">
        <f t="shared" si="7"/>
        <v>48</v>
      </c>
      <c r="H9" s="60">
        <f t="shared" si="7"/>
        <v>56</v>
      </c>
      <c r="I9" s="60">
        <f t="shared" si="7"/>
        <v>64</v>
      </c>
      <c r="J9" s="60">
        <f t="shared" si="7"/>
        <v>72</v>
      </c>
      <c r="K9" s="60">
        <f t="shared" si="7"/>
        <v>80</v>
      </c>
    </row>
    <row r="10" spans="1:11" x14ac:dyDescent="0.25">
      <c r="A10" s="62">
        <v>9</v>
      </c>
      <c r="B10" s="60">
        <f>$A$10*B1</f>
        <v>9</v>
      </c>
      <c r="C10" s="60">
        <f t="shared" ref="C10:K10" si="8">$A$10*C1</f>
        <v>18</v>
      </c>
      <c r="D10" s="60">
        <f t="shared" si="8"/>
        <v>27</v>
      </c>
      <c r="E10" s="60">
        <f t="shared" si="8"/>
        <v>36</v>
      </c>
      <c r="F10" s="60">
        <f t="shared" si="8"/>
        <v>45</v>
      </c>
      <c r="G10" s="60">
        <f t="shared" si="8"/>
        <v>54</v>
      </c>
      <c r="H10" s="60">
        <f t="shared" si="8"/>
        <v>63</v>
      </c>
      <c r="I10" s="60">
        <f t="shared" si="8"/>
        <v>72</v>
      </c>
      <c r="J10" s="60">
        <f t="shared" si="8"/>
        <v>81</v>
      </c>
      <c r="K10" s="60">
        <f t="shared" si="8"/>
        <v>90</v>
      </c>
    </row>
    <row r="11" spans="1:11" ht="15.75" thickBot="1" x14ac:dyDescent="0.3">
      <c r="A11" s="63">
        <v>10</v>
      </c>
      <c r="B11" s="60">
        <f>$A$11*B1</f>
        <v>10</v>
      </c>
      <c r="C11" s="60">
        <f t="shared" ref="C11:K11" si="9">$A$11*C1</f>
        <v>20</v>
      </c>
      <c r="D11" s="60">
        <f t="shared" si="9"/>
        <v>30</v>
      </c>
      <c r="E11" s="60">
        <f t="shared" si="9"/>
        <v>40</v>
      </c>
      <c r="F11" s="60">
        <f t="shared" si="9"/>
        <v>50</v>
      </c>
      <c r="G11" s="60">
        <f t="shared" si="9"/>
        <v>60</v>
      </c>
      <c r="H11" s="60">
        <f t="shared" si="9"/>
        <v>70</v>
      </c>
      <c r="I11" s="60">
        <f t="shared" si="9"/>
        <v>80</v>
      </c>
      <c r="J11" s="60">
        <f t="shared" si="9"/>
        <v>90</v>
      </c>
      <c r="K11" s="60">
        <f t="shared" si="9"/>
        <v>100</v>
      </c>
    </row>
    <row r="13" spans="1:11" x14ac:dyDescent="0.25">
      <c r="A13" s="20" t="s">
        <v>1</v>
      </c>
      <c r="B13" s="20"/>
      <c r="C13" s="20"/>
      <c r="D13" s="20"/>
      <c r="E13" s="20"/>
      <c r="F13" s="20"/>
      <c r="G13" s="20"/>
      <c r="H13" s="20"/>
      <c r="I13" s="20"/>
      <c r="J13" s="20"/>
      <c r="K13" s="20"/>
    </row>
    <row r="14" spans="1:11" x14ac:dyDescent="0.25">
      <c r="A14" s="2" t="s">
        <v>2</v>
      </c>
      <c r="B14" s="2"/>
      <c r="C14" s="2"/>
      <c r="D14" s="2"/>
      <c r="E14" s="2"/>
      <c r="F14" s="2"/>
      <c r="G14" s="2"/>
      <c r="H14" s="2"/>
      <c r="I14" s="2"/>
      <c r="J14" s="2"/>
      <c r="K14" s="2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laMxN">
                <anchor moveWithCells="1" sizeWithCells="1">
                  <from>
                    <xdr:col>12</xdr:col>
                    <xdr:colOff>66675</xdr:colOff>
                    <xdr:row>0</xdr:row>
                    <xdr:rowOff>180975</xdr:rowOff>
                  </from>
                  <to>
                    <xdr:col>13</xdr:col>
                    <xdr:colOff>695325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loresMxN">
                <anchor moveWithCells="1" sizeWithCells="1">
                  <from>
                    <xdr:col>12</xdr:col>
                    <xdr:colOff>142875</xdr:colOff>
                    <xdr:row>3</xdr:row>
                    <xdr:rowOff>9525</xdr:rowOff>
                  </from>
                  <to>
                    <xdr:col>13</xdr:col>
                    <xdr:colOff>571500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E15"/>
  <sheetViews>
    <sheetView workbookViewId="0">
      <selection activeCell="F16" sqref="F16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3" customWidth="1"/>
  </cols>
  <sheetData>
    <row r="1" spans="1:5" ht="15.75" thickBot="1" x14ac:dyDescent="0.3">
      <c r="A1" s="40">
        <f>$E$12</f>
        <v>9</v>
      </c>
      <c r="B1" s="44" t="s">
        <v>3</v>
      </c>
      <c r="C1" s="41">
        <v>1</v>
      </c>
      <c r="D1" s="51" t="s">
        <v>5</v>
      </c>
      <c r="E1" s="54">
        <f>A1*C1</f>
        <v>9</v>
      </c>
    </row>
    <row r="2" spans="1:5" ht="15.75" thickBot="1" x14ac:dyDescent="0.3">
      <c r="A2" s="40">
        <f t="shared" ref="A2:A10" si="0">$E$12</f>
        <v>9</v>
      </c>
      <c r="B2" s="45" t="s">
        <v>3</v>
      </c>
      <c r="C2" s="42">
        <v>2</v>
      </c>
      <c r="D2" s="52" t="s">
        <v>5</v>
      </c>
      <c r="E2" s="54">
        <f t="shared" ref="E2:E10" si="1">A2*C2</f>
        <v>18</v>
      </c>
    </row>
    <row r="3" spans="1:5" ht="15.75" thickBot="1" x14ac:dyDescent="0.3">
      <c r="A3" s="40">
        <f t="shared" si="0"/>
        <v>9</v>
      </c>
      <c r="B3" s="45" t="s">
        <v>3</v>
      </c>
      <c r="C3" s="42">
        <v>3</v>
      </c>
      <c r="D3" s="52" t="s">
        <v>5</v>
      </c>
      <c r="E3" s="54">
        <f t="shared" si="1"/>
        <v>27</v>
      </c>
    </row>
    <row r="4" spans="1:5" ht="15.75" thickBot="1" x14ac:dyDescent="0.3">
      <c r="A4" s="40">
        <f t="shared" si="0"/>
        <v>9</v>
      </c>
      <c r="B4" s="45" t="s">
        <v>3</v>
      </c>
      <c r="C4" s="42">
        <v>4</v>
      </c>
      <c r="D4" s="52" t="s">
        <v>5</v>
      </c>
      <c r="E4" s="54">
        <f t="shared" si="1"/>
        <v>36</v>
      </c>
    </row>
    <row r="5" spans="1:5" ht="15.75" thickBot="1" x14ac:dyDescent="0.3">
      <c r="A5" s="40">
        <f t="shared" si="0"/>
        <v>9</v>
      </c>
      <c r="B5" s="45" t="s">
        <v>3</v>
      </c>
      <c r="C5" s="42">
        <v>5</v>
      </c>
      <c r="D5" s="52" t="s">
        <v>5</v>
      </c>
      <c r="E5" s="54">
        <f t="shared" si="1"/>
        <v>45</v>
      </c>
    </row>
    <row r="6" spans="1:5" ht="15.75" thickBot="1" x14ac:dyDescent="0.3">
      <c r="A6" s="40">
        <f t="shared" si="0"/>
        <v>9</v>
      </c>
      <c r="B6" s="45" t="s">
        <v>3</v>
      </c>
      <c r="C6" s="42">
        <v>6</v>
      </c>
      <c r="D6" s="52" t="s">
        <v>5</v>
      </c>
      <c r="E6" s="54">
        <f t="shared" si="1"/>
        <v>54</v>
      </c>
    </row>
    <row r="7" spans="1:5" ht="15.75" thickBot="1" x14ac:dyDescent="0.3">
      <c r="A7" s="40">
        <f t="shared" si="0"/>
        <v>9</v>
      </c>
      <c r="B7" s="45" t="s">
        <v>3</v>
      </c>
      <c r="C7" s="42">
        <v>7</v>
      </c>
      <c r="D7" s="52" t="s">
        <v>5</v>
      </c>
      <c r="E7" s="54">
        <f t="shared" si="1"/>
        <v>63</v>
      </c>
    </row>
    <row r="8" spans="1:5" ht="15.75" thickBot="1" x14ac:dyDescent="0.3">
      <c r="A8" s="40">
        <f t="shared" si="0"/>
        <v>9</v>
      </c>
      <c r="B8" s="45" t="s">
        <v>3</v>
      </c>
      <c r="C8" s="42">
        <v>8</v>
      </c>
      <c r="D8" s="52" t="s">
        <v>5</v>
      </c>
      <c r="E8" s="54">
        <f t="shared" si="1"/>
        <v>72</v>
      </c>
    </row>
    <row r="9" spans="1:5" ht="15.75" thickBot="1" x14ac:dyDescent="0.3">
      <c r="A9" s="40">
        <f t="shared" si="0"/>
        <v>9</v>
      </c>
      <c r="B9" s="45" t="s">
        <v>3</v>
      </c>
      <c r="C9" s="42">
        <v>9</v>
      </c>
      <c r="D9" s="52" t="s">
        <v>5</v>
      </c>
      <c r="E9" s="54">
        <f t="shared" si="1"/>
        <v>81</v>
      </c>
    </row>
    <row r="10" spans="1:5" ht="15.75" thickBot="1" x14ac:dyDescent="0.3">
      <c r="A10" s="40">
        <f t="shared" si="0"/>
        <v>9</v>
      </c>
      <c r="B10" s="46" t="s">
        <v>3</v>
      </c>
      <c r="C10" s="43">
        <v>10</v>
      </c>
      <c r="D10" s="53" t="s">
        <v>5</v>
      </c>
      <c r="E10" s="54">
        <f t="shared" si="1"/>
        <v>90</v>
      </c>
    </row>
    <row r="11" spans="1:5" ht="15.75" thickBot="1" x14ac:dyDescent="0.3">
      <c r="A11" s="47"/>
      <c r="B11" s="47"/>
      <c r="C11" s="48"/>
      <c r="D11" s="49"/>
      <c r="E11" s="50"/>
    </row>
    <row r="12" spans="1:5" ht="15.75" thickBot="1" x14ac:dyDescent="0.3">
      <c r="A12" s="47"/>
      <c r="B12" s="47"/>
      <c r="C12" s="48"/>
      <c r="D12" s="4" t="s">
        <v>4</v>
      </c>
      <c r="E12" s="55">
        <v>9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ultiplicacion">
                <anchor moveWithCells="1" siz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285750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oTablaMultiplicar">
                <anchor moveWithCells="1" sizeWithCells="1">
                  <from>
                    <xdr:col>6</xdr:col>
                    <xdr:colOff>133350</xdr:colOff>
                    <xdr:row>2</xdr:row>
                    <xdr:rowOff>190500</xdr:rowOff>
                  </from>
                  <to>
                    <xdr:col>7</xdr:col>
                    <xdr:colOff>381000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5"/>
  <sheetViews>
    <sheetView workbookViewId="0">
      <selection activeCell="C19" sqref="C19"/>
    </sheetView>
  </sheetViews>
  <sheetFormatPr baseColWidth="10" defaultRowHeight="15" x14ac:dyDescent="0.25"/>
  <cols>
    <col min="1" max="1" width="33" customWidth="1"/>
    <col min="2" max="4" width="16.85546875" style="29" customWidth="1"/>
    <col min="5" max="5" width="13.5703125" style="29" customWidth="1"/>
  </cols>
  <sheetData>
    <row r="1" spans="1:5" ht="15.75" thickBot="1" x14ac:dyDescent="0.3">
      <c r="A1" s="5" t="s">
        <v>8</v>
      </c>
      <c r="B1" s="27" t="s">
        <v>27</v>
      </c>
      <c r="C1" s="28"/>
      <c r="D1" s="28"/>
    </row>
    <row r="2" spans="1:5" ht="15.75" thickBot="1" x14ac:dyDescent="0.3">
      <c r="A2" s="12" t="s">
        <v>9</v>
      </c>
      <c r="B2" s="30" t="s">
        <v>10</v>
      </c>
      <c r="C2" s="31" t="s">
        <v>11</v>
      </c>
      <c r="D2" s="31" t="s">
        <v>12</v>
      </c>
      <c r="E2" s="34" t="s">
        <v>29</v>
      </c>
    </row>
    <row r="3" spans="1:5" ht="15.75" thickTop="1" x14ac:dyDescent="0.25">
      <c r="A3" s="6" t="s">
        <v>13</v>
      </c>
      <c r="B3" s="35">
        <v>500</v>
      </c>
      <c r="C3" s="24">
        <v>0.15</v>
      </c>
      <c r="D3" s="24">
        <f t="shared" ref="D3:D15" si="0">B3*C3</f>
        <v>75</v>
      </c>
      <c r="E3" s="33">
        <f>C3*$B$19*B3</f>
        <v>9.75</v>
      </c>
    </row>
    <row r="4" spans="1:5" x14ac:dyDescent="0.25">
      <c r="A4" s="7" t="s">
        <v>14</v>
      </c>
      <c r="B4" s="36">
        <v>2347</v>
      </c>
      <c r="C4" s="25">
        <v>1.8</v>
      </c>
      <c r="D4" s="25">
        <f t="shared" si="0"/>
        <v>4224.6000000000004</v>
      </c>
      <c r="E4" s="33">
        <f t="shared" ref="E4:E15" si="1">C4*$B$19*B4</f>
        <v>549.19799999999998</v>
      </c>
    </row>
    <row r="5" spans="1:5" x14ac:dyDescent="0.25">
      <c r="A5" s="7" t="s">
        <v>15</v>
      </c>
      <c r="B5" s="36">
        <v>260</v>
      </c>
      <c r="C5" s="25">
        <v>1.9</v>
      </c>
      <c r="D5" s="25">
        <f t="shared" si="0"/>
        <v>494</v>
      </c>
      <c r="E5" s="33">
        <f t="shared" si="1"/>
        <v>64.22</v>
      </c>
    </row>
    <row r="6" spans="1:5" x14ac:dyDescent="0.25">
      <c r="A6" s="7" t="s">
        <v>16</v>
      </c>
      <c r="B6" s="36">
        <v>230</v>
      </c>
      <c r="C6" s="25">
        <v>1.7</v>
      </c>
      <c r="D6" s="25">
        <f t="shared" si="0"/>
        <v>391</v>
      </c>
      <c r="E6" s="33">
        <f t="shared" si="1"/>
        <v>50.83</v>
      </c>
    </row>
    <row r="7" spans="1:5" x14ac:dyDescent="0.25">
      <c r="A7" s="7" t="s">
        <v>17</v>
      </c>
      <c r="B7" s="36">
        <v>700</v>
      </c>
      <c r="C7" s="25">
        <v>6</v>
      </c>
      <c r="D7" s="25">
        <f t="shared" si="0"/>
        <v>4200</v>
      </c>
      <c r="E7" s="33">
        <f t="shared" si="1"/>
        <v>546</v>
      </c>
    </row>
    <row r="8" spans="1:5" x14ac:dyDescent="0.25">
      <c r="A8" s="7" t="s">
        <v>18</v>
      </c>
      <c r="B8" s="36">
        <v>3500</v>
      </c>
      <c r="C8" s="25">
        <v>0.2</v>
      </c>
      <c r="D8" s="25">
        <f t="shared" si="0"/>
        <v>700</v>
      </c>
      <c r="E8" s="33">
        <f t="shared" si="1"/>
        <v>91.000000000000014</v>
      </c>
    </row>
    <row r="9" spans="1:5" x14ac:dyDescent="0.25">
      <c r="A9" s="7" t="s">
        <v>19</v>
      </c>
      <c r="B9" s="36">
        <v>7000</v>
      </c>
      <c r="C9" s="25">
        <v>0.1</v>
      </c>
      <c r="D9" s="25">
        <f t="shared" si="0"/>
        <v>700</v>
      </c>
      <c r="E9" s="33">
        <f t="shared" si="1"/>
        <v>91.000000000000014</v>
      </c>
    </row>
    <row r="10" spans="1:5" x14ac:dyDescent="0.25">
      <c r="A10" s="7" t="s">
        <v>20</v>
      </c>
      <c r="B10" s="37">
        <v>750</v>
      </c>
      <c r="C10" s="25">
        <v>1.7</v>
      </c>
      <c r="D10" s="25">
        <f t="shared" si="0"/>
        <v>1275</v>
      </c>
      <c r="E10" s="33">
        <f t="shared" si="1"/>
        <v>165.75</v>
      </c>
    </row>
    <row r="11" spans="1:5" x14ac:dyDescent="0.25">
      <c r="A11" s="7" t="s">
        <v>21</v>
      </c>
      <c r="B11" s="36">
        <v>980</v>
      </c>
      <c r="C11" s="25">
        <v>3</v>
      </c>
      <c r="D11" s="25">
        <f t="shared" si="0"/>
        <v>2940</v>
      </c>
      <c r="E11" s="33">
        <f t="shared" si="1"/>
        <v>382.2</v>
      </c>
    </row>
    <row r="12" spans="1:5" x14ac:dyDescent="0.25">
      <c r="A12" s="7" t="s">
        <v>22</v>
      </c>
      <c r="B12" s="36">
        <v>752</v>
      </c>
      <c r="C12" s="25">
        <v>3</v>
      </c>
      <c r="D12" s="25">
        <f t="shared" si="0"/>
        <v>2256</v>
      </c>
      <c r="E12" s="33">
        <f t="shared" si="1"/>
        <v>293.28000000000003</v>
      </c>
    </row>
    <row r="13" spans="1:5" x14ac:dyDescent="0.25">
      <c r="A13" s="7" t="s">
        <v>23</v>
      </c>
      <c r="B13" s="36">
        <v>7080</v>
      </c>
      <c r="C13" s="25">
        <v>2</v>
      </c>
      <c r="D13" s="25">
        <f t="shared" si="0"/>
        <v>14160</v>
      </c>
      <c r="E13" s="33">
        <f t="shared" si="1"/>
        <v>1840.8</v>
      </c>
    </row>
    <row r="14" spans="1:5" x14ac:dyDescent="0.25">
      <c r="A14" s="7" t="s">
        <v>24</v>
      </c>
      <c r="B14" s="36">
        <v>6320</v>
      </c>
      <c r="C14" s="25">
        <v>0.4</v>
      </c>
      <c r="D14" s="25">
        <f t="shared" si="0"/>
        <v>2528</v>
      </c>
      <c r="E14" s="33">
        <f t="shared" si="1"/>
        <v>328.64000000000004</v>
      </c>
    </row>
    <row r="15" spans="1:5" ht="15.75" thickBot="1" x14ac:dyDescent="0.3">
      <c r="A15" s="8" t="s">
        <v>25</v>
      </c>
      <c r="B15" s="38">
        <v>789</v>
      </c>
      <c r="C15" s="26">
        <v>0.45</v>
      </c>
      <c r="D15" s="26">
        <f t="shared" si="0"/>
        <v>355.05</v>
      </c>
      <c r="E15" s="33">
        <f t="shared" si="1"/>
        <v>46.156500000000001</v>
      </c>
    </row>
    <row r="16" spans="1:5" ht="15.75" thickBot="1" x14ac:dyDescent="0.3"/>
    <row r="17" spans="1:5" ht="15.75" thickBot="1" x14ac:dyDescent="0.3">
      <c r="A17" s="10" t="s">
        <v>26</v>
      </c>
      <c r="B17" s="13">
        <f>SUM(B3:B16)</f>
        <v>31208</v>
      </c>
      <c r="C17" s="14">
        <f t="shared" ref="B17:D17" si="2">SUM(C3:C16)</f>
        <v>22.399999999999995</v>
      </c>
      <c r="D17" s="15">
        <f t="shared" si="2"/>
        <v>34298.65</v>
      </c>
      <c r="E17" s="33">
        <f>SUM(E3:E15)</f>
        <v>4458.8245000000006</v>
      </c>
    </row>
    <row r="19" spans="1:5" x14ac:dyDescent="0.25">
      <c r="A19" s="11" t="s">
        <v>28</v>
      </c>
      <c r="B19" s="32">
        <v>0.13</v>
      </c>
    </row>
    <row r="20" spans="1:5" x14ac:dyDescent="0.25">
      <c r="E20" s="9"/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o">
                <anchor moveWithCells="1" sizeWithCells="1">
                  <from>
                    <xdr:col>5</xdr:col>
                    <xdr:colOff>714375</xdr:colOff>
                    <xdr:row>1</xdr:row>
                    <xdr:rowOff>9525</xdr:rowOff>
                  </from>
                  <to>
                    <xdr:col>7</xdr:col>
                    <xdr:colOff>361950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otalIVA">
                <anchor moveWithCells="1" sizeWithCells="1">
                  <from>
                    <xdr:col>5</xdr:col>
                    <xdr:colOff>685800</xdr:colOff>
                    <xdr:row>4</xdr:row>
                    <xdr:rowOff>9525</xdr:rowOff>
                  </from>
                  <to>
                    <xdr:col>7</xdr:col>
                    <xdr:colOff>381000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TOTALSumaIVA">
                <anchor moveWithCells="1" sizeWithCells="1">
                  <from>
                    <xdr:col>6</xdr:col>
                    <xdr:colOff>0</xdr:colOff>
                    <xdr:row>6</xdr:row>
                    <xdr:rowOff>180975</xdr:rowOff>
                  </from>
                  <to>
                    <xdr:col>7</xdr:col>
                    <xdr:colOff>323850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6" name="Button 19">
              <controlPr defaultSize="0" print="0" autoFill="0" autoPict="0" macro="[0]!Totales">
                <anchor moveWithCells="1" sizeWithCells="1">
                  <from>
                    <xdr:col>6</xdr:col>
                    <xdr:colOff>19050</xdr:colOff>
                    <xdr:row>9</xdr:row>
                    <xdr:rowOff>0</xdr:rowOff>
                  </from>
                  <to>
                    <xdr:col>7</xdr:col>
                    <xdr:colOff>352425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D5"/>
  <sheetViews>
    <sheetView workbookViewId="0">
      <selection activeCell="B11" sqref="B11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16" t="s">
        <v>36</v>
      </c>
      <c r="B1" s="17" t="s">
        <v>35</v>
      </c>
      <c r="C1" s="18" t="s">
        <v>37</v>
      </c>
      <c r="D1" s="19" t="s">
        <v>38</v>
      </c>
    </row>
    <row r="2" spans="1:4" ht="15.75" x14ac:dyDescent="0.25">
      <c r="A2" s="39" t="s">
        <v>54</v>
      </c>
      <c r="B2" s="39" t="s">
        <v>63</v>
      </c>
      <c r="C2" s="39" t="s">
        <v>64</v>
      </c>
      <c r="D2" s="39" t="s">
        <v>65</v>
      </c>
    </row>
    <row r="5" spans="1:4" x14ac:dyDescent="0.25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ormatoTexto">
                <anchor moveWithCells="1" sizeWithCells="1">
                  <from>
                    <xdr:col>5</xdr:col>
                    <xdr:colOff>28575</xdr:colOff>
                    <xdr:row>0</xdr:row>
                    <xdr:rowOff>161925</xdr:rowOff>
                  </from>
                  <to>
                    <xdr:col>6</xdr:col>
                    <xdr:colOff>457200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E18"/>
  <sheetViews>
    <sheetView tabSelected="1" workbookViewId="0">
      <selection activeCell="J15" sqref="J15"/>
    </sheetView>
  </sheetViews>
  <sheetFormatPr baseColWidth="10" defaultRowHeight="15" x14ac:dyDescent="0.25"/>
  <cols>
    <col min="1" max="1" width="15.5703125" style="1" customWidth="1"/>
    <col min="2" max="2" width="16.5703125" style="1" customWidth="1"/>
    <col min="3" max="3" width="12" style="21" customWidth="1"/>
    <col min="4" max="4" width="12" style="23" customWidth="1"/>
    <col min="5" max="5" width="11.42578125" style="21"/>
  </cols>
  <sheetData>
    <row r="1" spans="1:5" x14ac:dyDescent="0.25">
      <c r="A1" s="1" t="s">
        <v>40</v>
      </c>
    </row>
    <row r="5" spans="1:5" x14ac:dyDescent="0.25">
      <c r="A5" s="1" t="s">
        <v>51</v>
      </c>
      <c r="B5" s="1" t="s">
        <v>9</v>
      </c>
      <c r="C5" s="22" t="s">
        <v>41</v>
      </c>
      <c r="D5" s="23" t="s">
        <v>52</v>
      </c>
      <c r="E5" s="1" t="s">
        <v>53</v>
      </c>
    </row>
    <row r="6" spans="1:5" x14ac:dyDescent="0.25">
      <c r="A6" s="1" t="s">
        <v>42</v>
      </c>
      <c r="B6" s="1" t="s">
        <v>46</v>
      </c>
      <c r="C6" s="22">
        <v>675</v>
      </c>
      <c r="D6" s="23">
        <v>2</v>
      </c>
      <c r="E6" s="22">
        <f>D6*C6</f>
        <v>1350</v>
      </c>
    </row>
    <row r="7" spans="1:5" x14ac:dyDescent="0.25">
      <c r="A7" s="1" t="s">
        <v>54</v>
      </c>
      <c r="B7" s="1" t="s">
        <v>47</v>
      </c>
      <c r="C7" s="22">
        <v>112</v>
      </c>
      <c r="D7" s="23">
        <v>8</v>
      </c>
      <c r="E7" s="22">
        <f t="shared" ref="E7:E14" si="0">D7*C7</f>
        <v>896</v>
      </c>
    </row>
    <row r="8" spans="1:5" x14ac:dyDescent="0.25">
      <c r="A8" s="1" t="s">
        <v>55</v>
      </c>
      <c r="B8" s="1" t="s">
        <v>49</v>
      </c>
      <c r="C8" s="22">
        <v>390</v>
      </c>
      <c r="D8" s="23">
        <v>4</v>
      </c>
      <c r="E8" s="22">
        <f t="shared" si="0"/>
        <v>1560</v>
      </c>
    </row>
    <row r="9" spans="1:5" x14ac:dyDescent="0.25">
      <c r="A9" s="1" t="s">
        <v>44</v>
      </c>
      <c r="B9" s="1" t="s">
        <v>45</v>
      </c>
      <c r="C9" s="22">
        <v>895</v>
      </c>
      <c r="D9" s="23">
        <v>6</v>
      </c>
      <c r="E9" s="22">
        <f t="shared" si="0"/>
        <v>5370</v>
      </c>
    </row>
    <row r="10" spans="1:5" x14ac:dyDescent="0.25">
      <c r="A10" s="1" t="s">
        <v>43</v>
      </c>
      <c r="B10" s="1" t="s">
        <v>50</v>
      </c>
      <c r="C10" s="22">
        <v>593</v>
      </c>
      <c r="D10" s="23">
        <v>4</v>
      </c>
      <c r="E10" s="22">
        <f t="shared" si="0"/>
        <v>2372</v>
      </c>
    </row>
    <row r="11" spans="1:5" x14ac:dyDescent="0.25">
      <c r="A11" s="1" t="s">
        <v>56</v>
      </c>
      <c r="B11" s="1" t="s">
        <v>60</v>
      </c>
      <c r="C11" s="22">
        <v>525</v>
      </c>
      <c r="D11" s="23">
        <v>2</v>
      </c>
      <c r="E11" s="22">
        <f t="shared" si="0"/>
        <v>1050</v>
      </c>
    </row>
    <row r="12" spans="1:5" x14ac:dyDescent="0.25">
      <c r="A12" s="1" t="s">
        <v>57</v>
      </c>
      <c r="B12" s="1" t="s">
        <v>61</v>
      </c>
      <c r="C12" s="22">
        <v>425</v>
      </c>
      <c r="D12" s="23">
        <v>5</v>
      </c>
      <c r="E12" s="22">
        <f t="shared" si="0"/>
        <v>2125</v>
      </c>
    </row>
    <row r="13" spans="1:5" x14ac:dyDescent="0.25">
      <c r="A13" s="1" t="s">
        <v>58</v>
      </c>
      <c r="B13" s="1" t="s">
        <v>48</v>
      </c>
      <c r="C13" s="22">
        <v>322</v>
      </c>
      <c r="D13" s="23">
        <v>3</v>
      </c>
      <c r="E13" s="22">
        <f t="shared" si="0"/>
        <v>966</v>
      </c>
    </row>
    <row r="14" spans="1:5" x14ac:dyDescent="0.25">
      <c r="A14" s="1" t="s">
        <v>59</v>
      </c>
      <c r="B14" s="1" t="s">
        <v>62</v>
      </c>
      <c r="C14" s="22">
        <v>680</v>
      </c>
      <c r="D14" s="23">
        <v>2</v>
      </c>
      <c r="E14" s="22">
        <f t="shared" si="0"/>
        <v>1360</v>
      </c>
    </row>
    <row r="15" spans="1:5" x14ac:dyDescent="0.25">
      <c r="C15" s="22"/>
      <c r="E15" s="1"/>
    </row>
    <row r="16" spans="1:5" x14ac:dyDescent="0.25">
      <c r="C16" s="22"/>
      <c r="E16" s="1"/>
    </row>
    <row r="17" spans="3:5" x14ac:dyDescent="0.25">
      <c r="C17" s="22"/>
      <c r="E17" s="1"/>
    </row>
    <row r="18" spans="3:5" x14ac:dyDescent="0.25">
      <c r="C18" s="22"/>
      <c r="E18" s="1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umaTotal">
                <anchor moveWithCells="1" sizeWithCells="1">
                  <from>
                    <xdr:col>6</xdr:col>
                    <xdr:colOff>19050</xdr:colOff>
                    <xdr:row>4</xdr:row>
                    <xdr:rowOff>9525</xdr:rowOff>
                  </from>
                  <to>
                    <xdr:col>7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Estudiante</cp:lastModifiedBy>
  <dcterms:created xsi:type="dcterms:W3CDTF">2022-09-28T06:37:15Z</dcterms:created>
  <dcterms:modified xsi:type="dcterms:W3CDTF">2022-09-28T18:02:43Z</dcterms:modified>
</cp:coreProperties>
</file>