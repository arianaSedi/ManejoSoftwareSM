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Downloads\"/>
    </mc:Choice>
  </mc:AlternateContent>
  <xr:revisionPtr revIDLastSave="0" documentId="13_ncr:1_{5FE498CD-1F98-4820-9DAD-698191BA95D6}" xr6:coauthVersionLast="47" xr6:coauthVersionMax="47" xr10:uidLastSave="{00000000-0000-0000-0000-000000000000}"/>
  <bookViews>
    <workbookView xWindow="-120" yWindow="-120" windowWidth="20730" windowHeight="11160" activeTab="2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7" i="3" l="1"/>
  <c r="C17" i="3"/>
  <c r="D17" i="3"/>
  <c r="E4" i="3"/>
  <c r="E5" i="3"/>
  <c r="E6" i="3"/>
  <c r="E7" i="3"/>
  <c r="E8" i="3"/>
  <c r="E9" i="3"/>
  <c r="E10" i="3"/>
  <c r="E11" i="3"/>
  <c r="E12" i="3"/>
  <c r="E13" i="3"/>
  <c r="E14" i="3"/>
  <c r="E15" i="3"/>
  <c r="E3" i="3"/>
  <c r="E17" i="3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<sst xmlns="http://schemas.openxmlformats.org/spreadsheetml/2006/main" count="59" uniqueCount="41">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</sst>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&quot;$&quot;#,##0.00"/>
    <numFmt numFmtId="167" formatCode="_-&quot;$&quot;* #,##0.0_-;\-&quot;$&quot;* #,##0.0_-;_-&quot;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b/>
      <i/>
      <sz val="12"/>
      <color theme="0"/>
      <name val="Bahnschrift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1" fontId="0" fillId="0" borderId="3" xfId="1" applyNumberFormat="1" applyFont="1" applyBorder="1" applyAlignment="1">
      <alignment horizontal="center"/>
    </xf>
    <xf numFmtId="1" fontId="0" fillId="0" borderId="4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2" xfId="0" applyBorder="1" applyAlignment="1">
      <alignment horizontal="center"/>
    </xf>
    <xf numFmtId="1" fontId="0" fillId="0" borderId="18" xfId="1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0" borderId="19" xfId="0" applyBorder="1"/>
    <xf numFmtId="0" fontId="0" fillId="0" borderId="20" xfId="0" applyBorder="1" applyAlignment="1">
      <alignment horizontal="center"/>
    </xf>
    <xf numFmtId="49" fontId="0" fillId="0" borderId="20" xfId="0" applyNumberFormat="1" applyBorder="1" applyAlignment="1">
      <alignment horizontal="center"/>
    </xf>
    <xf numFmtId="1" fontId="0" fillId="0" borderId="21" xfId="0" applyNumberFormat="1" applyBorder="1"/>
    <xf numFmtId="0" fontId="0" fillId="0" borderId="6" xfId="0" applyBorder="1"/>
    <xf numFmtId="1" fontId="0" fillId="0" borderId="7" xfId="0" applyNumberFormat="1" applyBorder="1"/>
    <xf numFmtId="0" fontId="0" fillId="0" borderId="8" xfId="0" applyBorder="1"/>
    <xf numFmtId="0" fontId="0" fillId="0" borderId="9" xfId="0" applyBorder="1" applyAlignment="1">
      <alignment horizontal="center"/>
    </xf>
    <xf numFmtId="49" fontId="0" fillId="0" borderId="9" xfId="0" applyNumberFormat="1" applyBorder="1" applyAlignment="1">
      <alignment horizontal="center"/>
    </xf>
    <xf numFmtId="1" fontId="0" fillId="0" borderId="10" xfId="0" applyNumberFormat="1" applyBorder="1"/>
    <xf numFmtId="0" fontId="0" fillId="2" borderId="2" xfId="0" applyFill="1" applyBorder="1" applyAlignment="1">
      <alignment horizontal="center"/>
    </xf>
    <xf numFmtId="0" fontId="2" fillId="3" borderId="22" xfId="0" applyFont="1" applyFill="1" applyBorder="1"/>
    <xf numFmtId="49" fontId="2" fillId="3" borderId="23" xfId="0" applyNumberFormat="1" applyFont="1" applyFill="1" applyBorder="1"/>
    <xf numFmtId="165" fontId="0" fillId="3" borderId="23" xfId="0" applyNumberFormat="1" applyFill="1" applyBorder="1"/>
    <xf numFmtId="0" fontId="4" fillId="5" borderId="15" xfId="0" applyFont="1" applyFill="1" applyBorder="1" applyAlignment="1">
      <alignment horizontal="left" vertical="center" wrapText="1"/>
    </xf>
    <xf numFmtId="0" fontId="4" fillId="5" borderId="13" xfId="0" applyFont="1" applyFill="1" applyBorder="1" applyAlignment="1">
      <alignment horizontal="left" vertical="center" wrapText="1"/>
    </xf>
    <xf numFmtId="0" fontId="4" fillId="5" borderId="14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4" borderId="24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center" vertical="center"/>
    </xf>
    <xf numFmtId="165" fontId="4" fillId="4" borderId="26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27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7" fillId="8" borderId="1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167" fontId="4" fillId="6" borderId="17" xfId="2" applyNumberFormat="1" applyFont="1" applyFill="1" applyBorder="1" applyAlignment="1">
      <alignment horizontal="center" vertical="center"/>
    </xf>
    <xf numFmtId="167" fontId="0" fillId="0" borderId="0" xfId="0" applyNumberFormat="1"/>
    <xf numFmtId="2" fontId="4" fillId="0" borderId="16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2" fontId="5" fillId="0" borderId="11" xfId="0" applyNumberFormat="1" applyFont="1" applyBorder="1" applyAlignment="1">
      <alignment horizontal="center" vertical="center"/>
    </xf>
    <xf numFmtId="2" fontId="4" fillId="0" borderId="12" xfId="0" applyNumberFormat="1" applyFont="1" applyBorder="1" applyAlignment="1">
      <alignment horizontal="center" vertical="center"/>
    </xf>
    <xf numFmtId="165" fontId="4" fillId="6" borderId="17" xfId="0" applyNumberFormat="1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65" fontId="4" fillId="6" borderId="9" xfId="0" applyNumberFormat="1" applyFont="1" applyFill="1" applyBorder="1" applyAlignment="1">
      <alignment horizontal="center" vertical="center"/>
    </xf>
    <xf numFmtId="9" fontId="0" fillId="7" borderId="0" xfId="3" applyFont="1" applyFill="1"/>
    <xf numFmtId="3" fontId="6" fillId="9" borderId="18" xfId="0" applyNumberFormat="1" applyFont="1" applyFill="1" applyBorder="1" applyAlignment="1">
      <alignment horizontal="center" vertical="center"/>
    </xf>
    <xf numFmtId="165" fontId="6" fillId="9" borderId="3" xfId="0" applyNumberFormat="1" applyFont="1" applyFill="1" applyBorder="1" applyAlignment="1">
      <alignment horizontal="center" vertical="center"/>
    </xf>
    <xf numFmtId="165" fontId="3" fillId="9" borderId="3" xfId="0" applyNumberFormat="1" applyFont="1" applyFill="1" applyBorder="1" applyAlignment="1">
      <alignment horizontal="center" vertic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</xdr:row>
          <xdr:rowOff>114300</xdr:rowOff>
        </xdr:from>
        <xdr:to>
          <xdr:col>8</xdr:col>
          <xdr:colOff>276225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 e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6</xdr:row>
          <xdr:rowOff>28575</xdr:rowOff>
        </xdr:from>
        <xdr:to>
          <xdr:col>8</xdr:col>
          <xdr:colOff>304800</xdr:colOff>
          <xdr:row>10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 del total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180975</xdr:rowOff>
        </xdr:from>
        <xdr:to>
          <xdr:col>10</xdr:col>
          <xdr:colOff>638175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6</xdr:row>
          <xdr:rowOff>152400</xdr:rowOff>
        </xdr:from>
        <xdr:to>
          <xdr:col>11</xdr:col>
          <xdr:colOff>19050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Sumatoria de columnas </a:t>
              </a:r>
            </a:p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B,C y 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A13" sqref="A13:K13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9" t="s">
        <v>0</v>
      </c>
      <c r="B1" s="10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2">
        <v>10</v>
      </c>
    </row>
    <row r="2" spans="1:11" x14ac:dyDescent="0.25">
      <c r="A2" s="7">
        <v>1</v>
      </c>
      <c r="B2" s="8"/>
      <c r="C2" s="8"/>
      <c r="D2" s="8"/>
      <c r="E2" s="8"/>
      <c r="F2" s="8"/>
      <c r="G2" s="8"/>
      <c r="H2" s="8"/>
      <c r="I2" s="8"/>
      <c r="J2" s="8"/>
      <c r="K2" s="8"/>
    </row>
    <row r="3" spans="1:11" x14ac:dyDescent="0.25">
      <c r="A3" s="5">
        <v>2</v>
      </c>
      <c r="B3" s="8"/>
      <c r="C3" s="8"/>
      <c r="D3" s="8"/>
      <c r="E3" s="8"/>
      <c r="F3" s="8"/>
      <c r="G3" s="8"/>
      <c r="H3" s="8"/>
      <c r="I3" s="8"/>
      <c r="J3" s="8"/>
      <c r="K3" s="8"/>
    </row>
    <row r="4" spans="1:11" x14ac:dyDescent="0.25">
      <c r="A4" s="5">
        <v>3</v>
      </c>
      <c r="B4" s="8"/>
      <c r="C4" s="8"/>
      <c r="D4" s="8"/>
      <c r="E4" s="8"/>
      <c r="F4" s="8"/>
      <c r="G4" s="8"/>
      <c r="H4" s="8"/>
      <c r="I4" s="8"/>
      <c r="J4" s="8"/>
      <c r="K4" s="8"/>
    </row>
    <row r="5" spans="1:11" x14ac:dyDescent="0.25">
      <c r="A5" s="5">
        <v>4</v>
      </c>
      <c r="B5" s="8"/>
      <c r="C5" s="8"/>
      <c r="D5" s="8"/>
      <c r="E5" s="8"/>
      <c r="F5" s="8"/>
      <c r="G5" s="8"/>
      <c r="H5" s="8"/>
      <c r="I5" s="8"/>
      <c r="J5" s="8"/>
      <c r="K5" s="8"/>
    </row>
    <row r="6" spans="1:11" x14ac:dyDescent="0.25">
      <c r="A6" s="5">
        <v>5</v>
      </c>
      <c r="B6" s="8"/>
      <c r="C6" s="8"/>
      <c r="D6" s="8"/>
      <c r="E6" s="8"/>
      <c r="F6" s="8"/>
      <c r="G6" s="8"/>
      <c r="H6" s="8"/>
      <c r="I6" s="8"/>
      <c r="J6" s="8"/>
      <c r="K6" s="8"/>
    </row>
    <row r="7" spans="1:11" x14ac:dyDescent="0.25">
      <c r="A7" s="5">
        <v>6</v>
      </c>
      <c r="B7" s="8"/>
      <c r="C7" s="8"/>
      <c r="D7" s="8"/>
      <c r="E7" s="8"/>
      <c r="F7" s="8"/>
      <c r="G7" s="8"/>
      <c r="H7" s="8"/>
      <c r="I7" s="8"/>
      <c r="J7" s="8"/>
      <c r="K7" s="8"/>
    </row>
    <row r="8" spans="1:11" x14ac:dyDescent="0.25">
      <c r="A8" s="5">
        <v>7</v>
      </c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x14ac:dyDescent="0.25">
      <c r="A9" s="5">
        <v>8</v>
      </c>
      <c r="B9" s="8"/>
      <c r="C9" s="8"/>
      <c r="D9" s="8"/>
      <c r="E9" s="8"/>
      <c r="F9" s="8"/>
      <c r="G9" s="8"/>
      <c r="H9" s="8"/>
      <c r="I9" s="8"/>
      <c r="J9" s="8"/>
      <c r="K9" s="8"/>
    </row>
    <row r="10" spans="1:11" x14ac:dyDescent="0.25">
      <c r="A10" s="5">
        <v>9</v>
      </c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1:11" ht="15.75" thickBot="1" x14ac:dyDescent="0.3">
      <c r="A11" s="6">
        <v>10</v>
      </c>
      <c r="B11" s="8"/>
      <c r="C11" s="8"/>
      <c r="D11" s="8"/>
      <c r="E11" s="8"/>
      <c r="F11" s="8"/>
      <c r="G11" s="8"/>
      <c r="H11" s="8"/>
      <c r="I11" s="8"/>
      <c r="J11" s="8"/>
      <c r="K11" s="8"/>
    </row>
    <row r="13" spans="1:11" x14ac:dyDescent="0.25">
      <c r="A13" s="44" t="s">
        <v>1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</row>
    <row r="14" spans="1:11" x14ac:dyDescent="0.25">
      <c r="A14" s="11" t="s">
        <v>2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</row>
  </sheetData>
  <mergeCells count="1">
    <mergeCell ref="A13:K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E15"/>
  <sheetViews>
    <sheetView workbookViewId="0">
      <selection activeCell="A16" sqref="A16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3" customWidth="1"/>
    <col min="4" max="4" width="4.140625" customWidth="1"/>
    <col min="5" max="5" width="7.7109375" style="14" customWidth="1"/>
  </cols>
  <sheetData>
    <row r="1" spans="1:5" x14ac:dyDescent="0.25">
      <c r="A1" s="16"/>
      <c r="B1" s="17" t="s">
        <v>3</v>
      </c>
      <c r="C1" s="17">
        <v>1</v>
      </c>
      <c r="D1" s="18" t="s">
        <v>5</v>
      </c>
      <c r="E1" s="19"/>
    </row>
    <row r="2" spans="1:5" x14ac:dyDescent="0.25">
      <c r="A2" s="20"/>
      <c r="B2" s="4" t="s">
        <v>3</v>
      </c>
      <c r="C2" s="4">
        <v>2</v>
      </c>
      <c r="D2" s="13" t="s">
        <v>5</v>
      </c>
      <c r="E2" s="21"/>
    </row>
    <row r="3" spans="1:5" x14ac:dyDescent="0.25">
      <c r="A3" s="20"/>
      <c r="B3" s="4" t="s">
        <v>3</v>
      </c>
      <c r="C3" s="4">
        <v>3</v>
      </c>
      <c r="D3" s="13" t="s">
        <v>5</v>
      </c>
      <c r="E3" s="21"/>
    </row>
    <row r="4" spans="1:5" x14ac:dyDescent="0.25">
      <c r="A4" s="20"/>
      <c r="B4" s="4" t="s">
        <v>3</v>
      </c>
      <c r="C4" s="4">
        <v>4</v>
      </c>
      <c r="D4" s="13" t="s">
        <v>5</v>
      </c>
      <c r="E4" s="21"/>
    </row>
    <row r="5" spans="1:5" x14ac:dyDescent="0.25">
      <c r="A5" s="20"/>
      <c r="B5" s="4" t="s">
        <v>3</v>
      </c>
      <c r="C5" s="4">
        <v>5</v>
      </c>
      <c r="D5" s="13" t="s">
        <v>5</v>
      </c>
      <c r="E5" s="21"/>
    </row>
    <row r="6" spans="1:5" x14ac:dyDescent="0.25">
      <c r="A6" s="20"/>
      <c r="B6" s="4" t="s">
        <v>3</v>
      </c>
      <c r="C6" s="4">
        <v>6</v>
      </c>
      <c r="D6" s="13" t="s">
        <v>5</v>
      </c>
      <c r="E6" s="21"/>
    </row>
    <row r="7" spans="1:5" x14ac:dyDescent="0.25">
      <c r="A7" s="20"/>
      <c r="B7" s="4" t="s">
        <v>3</v>
      </c>
      <c r="C7" s="4">
        <v>7</v>
      </c>
      <c r="D7" s="13" t="s">
        <v>5</v>
      </c>
      <c r="E7" s="21"/>
    </row>
    <row r="8" spans="1:5" x14ac:dyDescent="0.25">
      <c r="A8" s="20"/>
      <c r="B8" s="4" t="s">
        <v>3</v>
      </c>
      <c r="C8" s="4">
        <v>8</v>
      </c>
      <c r="D8" s="13" t="s">
        <v>5</v>
      </c>
      <c r="E8" s="21"/>
    </row>
    <row r="9" spans="1:5" x14ac:dyDescent="0.25">
      <c r="A9" s="20"/>
      <c r="B9" s="4" t="s">
        <v>3</v>
      </c>
      <c r="C9" s="4">
        <v>9</v>
      </c>
      <c r="D9" s="13" t="s">
        <v>5</v>
      </c>
      <c r="E9" s="21"/>
    </row>
    <row r="10" spans="1:5" ht="15.75" thickBot="1" x14ac:dyDescent="0.3">
      <c r="A10" s="22"/>
      <c r="B10" s="23" t="s">
        <v>3</v>
      </c>
      <c r="C10" s="23">
        <v>10</v>
      </c>
      <c r="D10" s="24" t="s">
        <v>5</v>
      </c>
      <c r="E10" s="25"/>
    </row>
    <row r="11" spans="1:5" ht="15.75" thickBot="1" x14ac:dyDescent="0.3">
      <c r="D11" s="12"/>
    </row>
    <row r="12" spans="1:5" ht="15.75" thickBot="1" x14ac:dyDescent="0.3">
      <c r="D12" s="26" t="s">
        <v>4</v>
      </c>
      <c r="E12" s="15"/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E25"/>
  <sheetViews>
    <sheetView tabSelected="1" topLeftCell="A6" workbookViewId="0">
      <selection activeCell="K14" sqref="K14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27" t="s">
        <v>8</v>
      </c>
      <c r="B1" s="28" t="s">
        <v>27</v>
      </c>
      <c r="C1" s="29"/>
      <c r="D1" s="29"/>
    </row>
    <row r="2" spans="1:5" ht="15.75" thickBot="1" x14ac:dyDescent="0.3">
      <c r="A2" s="36" t="s">
        <v>9</v>
      </c>
      <c r="B2" s="37" t="s">
        <v>10</v>
      </c>
      <c r="C2" s="38" t="s">
        <v>11</v>
      </c>
      <c r="D2" s="38" t="s">
        <v>12</v>
      </c>
      <c r="E2" s="38" t="s">
        <v>29</v>
      </c>
    </row>
    <row r="3" spans="1:5" ht="15.75" thickTop="1" x14ac:dyDescent="0.25">
      <c r="A3" s="30" t="s">
        <v>13</v>
      </c>
      <c r="B3" s="47">
        <v>500</v>
      </c>
      <c r="C3" s="51">
        <v>0.15</v>
      </c>
      <c r="D3" s="51">
        <f t="shared" ref="D3:D15" si="0">B3*C3</f>
        <v>75</v>
      </c>
      <c r="E3" s="45">
        <f>B3*$B$19*C3</f>
        <v>9.75</v>
      </c>
    </row>
    <row r="4" spans="1:5" x14ac:dyDescent="0.25">
      <c r="A4" s="31" t="s">
        <v>14</v>
      </c>
      <c r="B4" s="48">
        <v>2347</v>
      </c>
      <c r="C4" s="52">
        <v>1.8</v>
      </c>
      <c r="D4" s="52">
        <f t="shared" si="0"/>
        <v>4224.6000000000004</v>
      </c>
      <c r="E4" s="45">
        <f t="shared" ref="E4:E15" si="1">B4*$B$19*C4</f>
        <v>549.19800000000009</v>
      </c>
    </row>
    <row r="5" spans="1:5" x14ac:dyDescent="0.25">
      <c r="A5" s="31" t="s">
        <v>15</v>
      </c>
      <c r="B5" s="48">
        <v>260</v>
      </c>
      <c r="C5" s="52">
        <v>1.9</v>
      </c>
      <c r="D5" s="52">
        <f t="shared" si="0"/>
        <v>494</v>
      </c>
      <c r="E5" s="45">
        <f t="shared" si="1"/>
        <v>64.22</v>
      </c>
    </row>
    <row r="6" spans="1:5" x14ac:dyDescent="0.25">
      <c r="A6" s="31" t="s">
        <v>16</v>
      </c>
      <c r="B6" s="48">
        <v>230</v>
      </c>
      <c r="C6" s="52">
        <v>1.7</v>
      </c>
      <c r="D6" s="52">
        <f t="shared" si="0"/>
        <v>391</v>
      </c>
      <c r="E6" s="45">
        <f t="shared" si="1"/>
        <v>50.830000000000005</v>
      </c>
    </row>
    <row r="7" spans="1:5" x14ac:dyDescent="0.25">
      <c r="A7" s="31" t="s">
        <v>17</v>
      </c>
      <c r="B7" s="48">
        <v>700</v>
      </c>
      <c r="C7" s="52">
        <v>6</v>
      </c>
      <c r="D7" s="52">
        <f t="shared" si="0"/>
        <v>4200</v>
      </c>
      <c r="E7" s="45">
        <f t="shared" si="1"/>
        <v>546</v>
      </c>
    </row>
    <row r="8" spans="1:5" x14ac:dyDescent="0.25">
      <c r="A8" s="31" t="s">
        <v>18</v>
      </c>
      <c r="B8" s="48">
        <v>3500</v>
      </c>
      <c r="C8" s="52">
        <v>0.2</v>
      </c>
      <c r="D8" s="52">
        <f t="shared" si="0"/>
        <v>700</v>
      </c>
      <c r="E8" s="45">
        <f t="shared" si="1"/>
        <v>91</v>
      </c>
    </row>
    <row r="9" spans="1:5" x14ac:dyDescent="0.25">
      <c r="A9" s="31" t="s">
        <v>19</v>
      </c>
      <c r="B9" s="48">
        <v>7000</v>
      </c>
      <c r="C9" s="52">
        <v>0.1</v>
      </c>
      <c r="D9" s="52">
        <f t="shared" si="0"/>
        <v>700</v>
      </c>
      <c r="E9" s="45">
        <f t="shared" si="1"/>
        <v>91</v>
      </c>
    </row>
    <row r="10" spans="1:5" x14ac:dyDescent="0.25">
      <c r="A10" s="31" t="s">
        <v>20</v>
      </c>
      <c r="B10" s="49">
        <v>750</v>
      </c>
      <c r="C10" s="52">
        <v>1.7</v>
      </c>
      <c r="D10" s="52">
        <f t="shared" si="0"/>
        <v>1275</v>
      </c>
      <c r="E10" s="45">
        <f t="shared" si="1"/>
        <v>165.75</v>
      </c>
    </row>
    <row r="11" spans="1:5" x14ac:dyDescent="0.25">
      <c r="A11" s="31" t="s">
        <v>21</v>
      </c>
      <c r="B11" s="48">
        <v>980</v>
      </c>
      <c r="C11" s="52">
        <v>3</v>
      </c>
      <c r="D11" s="52">
        <f t="shared" si="0"/>
        <v>2940</v>
      </c>
      <c r="E11" s="45">
        <f t="shared" si="1"/>
        <v>382.20000000000005</v>
      </c>
    </row>
    <row r="12" spans="1:5" x14ac:dyDescent="0.25">
      <c r="A12" s="31" t="s">
        <v>22</v>
      </c>
      <c r="B12" s="48">
        <v>752</v>
      </c>
      <c r="C12" s="52">
        <v>3</v>
      </c>
      <c r="D12" s="52">
        <f t="shared" si="0"/>
        <v>2256</v>
      </c>
      <c r="E12" s="45">
        <f t="shared" si="1"/>
        <v>293.28000000000003</v>
      </c>
    </row>
    <row r="13" spans="1:5" x14ac:dyDescent="0.25">
      <c r="A13" s="31" t="s">
        <v>23</v>
      </c>
      <c r="B13" s="48">
        <v>7080</v>
      </c>
      <c r="C13" s="52">
        <v>2</v>
      </c>
      <c r="D13" s="52">
        <f t="shared" si="0"/>
        <v>14160</v>
      </c>
      <c r="E13" s="45">
        <f t="shared" si="1"/>
        <v>1840.8</v>
      </c>
    </row>
    <row r="14" spans="1:5" x14ac:dyDescent="0.25">
      <c r="A14" s="31" t="s">
        <v>24</v>
      </c>
      <c r="B14" s="48">
        <v>6320</v>
      </c>
      <c r="C14" s="52">
        <v>0.4</v>
      </c>
      <c r="D14" s="52">
        <f t="shared" si="0"/>
        <v>2528</v>
      </c>
      <c r="E14" s="45">
        <f t="shared" si="1"/>
        <v>328.64000000000004</v>
      </c>
    </row>
    <row r="15" spans="1:5" ht="15.75" thickBot="1" x14ac:dyDescent="0.3">
      <c r="A15" s="32" t="s">
        <v>25</v>
      </c>
      <c r="B15" s="50">
        <v>789</v>
      </c>
      <c r="C15" s="53">
        <v>0.45</v>
      </c>
      <c r="D15" s="53">
        <f t="shared" si="0"/>
        <v>355.05</v>
      </c>
      <c r="E15" s="45">
        <f t="shared" si="1"/>
        <v>46.156500000000001</v>
      </c>
    </row>
    <row r="16" spans="1:5" ht="15.75" thickBot="1" x14ac:dyDescent="0.3">
      <c r="C16" s="33"/>
      <c r="D16" s="33"/>
    </row>
    <row r="17" spans="1:5" ht="15.75" thickBot="1" x14ac:dyDescent="0.3">
      <c r="A17" s="34" t="s">
        <v>26</v>
      </c>
      <c r="B17" s="55">
        <f t="shared" ref="B17:D17" si="2">SUM(B3:B16)</f>
        <v>31208</v>
      </c>
      <c r="C17" s="56">
        <f t="shared" si="2"/>
        <v>22.399999999999995</v>
      </c>
      <c r="D17" s="57">
        <f t="shared" si="2"/>
        <v>34298.65</v>
      </c>
      <c r="E17" s="46">
        <f>SUM(E3:E16)</f>
        <v>4458.8245000000006</v>
      </c>
    </row>
    <row r="19" spans="1:5" x14ac:dyDescent="0.25">
      <c r="A19" s="35" t="s">
        <v>28</v>
      </c>
      <c r="B19" s="54">
        <v>0.13</v>
      </c>
    </row>
    <row r="21" spans="1:5" x14ac:dyDescent="0.25">
      <c r="A21" t="s">
        <v>30</v>
      </c>
    </row>
    <row r="22" spans="1:5" x14ac:dyDescent="0.25">
      <c r="A22" t="s">
        <v>31</v>
      </c>
    </row>
    <row r="23" spans="1:5" x14ac:dyDescent="0.25">
      <c r="A23" t="s">
        <v>32</v>
      </c>
    </row>
    <row r="24" spans="1:5" x14ac:dyDescent="0.25">
      <c r="A24" t="s">
        <v>33</v>
      </c>
    </row>
    <row r="25" spans="1:5" x14ac:dyDescent="0.25">
      <c r="A25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o_IVA_Tabla">
                <anchor moveWithCells="1" sizeWithCells="1">
                  <from>
                    <xdr:col>6</xdr:col>
                    <xdr:colOff>352425</xdr:colOff>
                    <xdr:row>1</xdr:row>
                    <xdr:rowOff>114300</xdr:rowOff>
                  </from>
                  <to>
                    <xdr:col>8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ma_total_iva">
                <anchor moveWithCells="1" sizeWithCells="1">
                  <from>
                    <xdr:col>6</xdr:col>
                    <xdr:colOff>381000</xdr:colOff>
                    <xdr:row>6</xdr:row>
                    <xdr:rowOff>28575</xdr:rowOff>
                  </from>
                  <to>
                    <xdr:col>8</xdr:col>
                    <xdr:colOff>304800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otal_iva">
                <anchor moveWithCells="1" sizeWithCells="1">
                  <from>
                    <xdr:col>8</xdr:col>
                    <xdr:colOff>590550</xdr:colOff>
                    <xdr:row>1</xdr:row>
                    <xdr:rowOff>180975</xdr:rowOff>
                  </from>
                  <to>
                    <xdr:col>10</xdr:col>
                    <xdr:colOff>638175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uma_columnas">
                <anchor moveWithCells="1" sizeWithCells="1">
                  <from>
                    <xdr:col>9</xdr:col>
                    <xdr:colOff>76200</xdr:colOff>
                    <xdr:row>6</xdr:row>
                    <xdr:rowOff>152400</xdr:rowOff>
                  </from>
                  <to>
                    <xdr:col>11</xdr:col>
                    <xdr:colOff>19050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D5"/>
  <sheetViews>
    <sheetView workbookViewId="0">
      <selection activeCell="A2" sqref="A2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39" t="s">
        <v>36</v>
      </c>
      <c r="B1" s="40" t="s">
        <v>35</v>
      </c>
      <c r="C1" s="41" t="s">
        <v>37</v>
      </c>
      <c r="D1" s="42" t="s">
        <v>38</v>
      </c>
    </row>
    <row r="2" spans="1:4" ht="15.75" x14ac:dyDescent="0.25">
      <c r="A2" s="43"/>
      <c r="B2" s="43"/>
      <c r="C2" s="43"/>
      <c r="D2" s="43"/>
    </row>
    <row r="5" spans="1:4" x14ac:dyDescent="0.25">
      <c r="A5" t="s">
        <v>39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"/>
  <sheetViews>
    <sheetView workbookViewId="0">
      <selection activeCell="A4" sqref="A4"/>
    </sheetView>
  </sheetViews>
  <sheetFormatPr baseColWidth="10"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dcterms:created xsi:type="dcterms:W3CDTF">2022-09-28T06:37:15Z</dcterms:created>
  <dcterms:modified xsi:type="dcterms:W3CDTF">2022-09-28T17:33:35Z</dcterms:modified>
</cp:coreProperties>
</file>